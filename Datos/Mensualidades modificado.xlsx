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DA84ED49-97AC-4F2E-878A-A679A5C4264A}" xr6:coauthVersionLast="47" xr6:coauthVersionMax="47" xr10:uidLastSave="{00000000-0000-0000-0000-000000000000}"/>
  <bookViews>
    <workbookView xWindow="-120" yWindow="-120" windowWidth="24240" windowHeight="13020" xr2:uid="{E9AA2BAF-2EBE-4308-88D6-1E03A5F7B872}"/>
  </bookViews>
  <sheets>
    <sheet name="1ERO. BÁSICO" sheetId="1" r:id="rId1"/>
    <sheet name="2DO. BÁSICO" sheetId="2" r:id="rId2"/>
    <sheet name="3ERO. BÁSICO" sheetId="4" r:id="rId3"/>
    <sheet name="4TO. BACHILLERATO" sheetId="5" r:id="rId4"/>
    <sheet name="5TO. BACHILLERATO" sheetId="6" r:id="rId5"/>
    <sheet name="RESUMEN" sheetId="17" r:id="rId6"/>
    <sheet name="INSCRIPCIÓN 2DO" sheetId="18" r:id="rId7"/>
    <sheet name="MULTAS" sheetId="19" r:id="rId8"/>
  </sheets>
  <definedNames>
    <definedName name="_xlnm._FilterDatabase" localSheetId="0" hidden="1">'1ERO. BÁSICO'!$A$1:$Z$37</definedName>
    <definedName name="_xlnm._FilterDatabase" localSheetId="1" hidden="1">'2DO. BÁSICO'!$A$2:$U$33</definedName>
    <definedName name="_xlnm._FilterDatabase" localSheetId="2" hidden="1">'3ERO. BÁSICO'!$A$3:$U$23</definedName>
    <definedName name="_xlnm._FilterDatabase" localSheetId="3" hidden="1">'4TO. BACHILLERATO'!$A$2:$U$17</definedName>
    <definedName name="_xlnm._FilterDatabase" localSheetId="4" hidden="1">'5TO. BACHILLERATO'!$A$2:$T$10</definedName>
    <definedName name="_xlnm._FilterDatabase" localSheetId="7" hidden="1">MULTAS!$B$1:$B$57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1" i="19" l="1"/>
  <c r="F51" i="19"/>
  <c r="J30" i="17"/>
  <c r="J8" i="17"/>
  <c r="AA17" i="5"/>
  <c r="J7" i="17" s="1"/>
  <c r="AA23" i="4"/>
  <c r="J6" i="17" s="1"/>
  <c r="AA33" i="2"/>
  <c r="J5" i="17" s="1"/>
  <c r="AA33" i="1"/>
  <c r="J4" i="17" s="1"/>
  <c r="D57" i="19"/>
  <c r="I57" i="19" s="1"/>
  <c r="I51" i="19"/>
  <c r="H51" i="19"/>
  <c r="A33" i="1"/>
  <c r="E51" i="19"/>
  <c r="N33" i="1"/>
  <c r="C26" i="18"/>
  <c r="Z33" i="2"/>
  <c r="I5" i="17" s="1"/>
  <c r="Z23" i="4"/>
  <c r="I6" i="17" s="1"/>
  <c r="D24" i="18"/>
  <c r="I8" i="17"/>
  <c r="X10" i="6"/>
  <c r="Z17" i="5"/>
  <c r="I7" i="17" s="1"/>
  <c r="Z33" i="1"/>
  <c r="I4" i="17" s="1"/>
  <c r="W10" i="6"/>
  <c r="E22" i="18"/>
  <c r="H8" i="17"/>
  <c r="Y33" i="1"/>
  <c r="H4" i="17" s="1"/>
  <c r="I53" i="19" l="1"/>
  <c r="K54" i="19" s="1"/>
  <c r="J9" i="17"/>
  <c r="I9" i="17"/>
  <c r="Y17" i="5"/>
  <c r="H7" i="17" s="1"/>
  <c r="Y23" i="4"/>
  <c r="H6" i="17" s="1"/>
  <c r="Y33" i="2"/>
  <c r="H5" i="17" s="1"/>
  <c r="H9" i="17" l="1"/>
  <c r="G8" i="17"/>
  <c r="V10" i="6"/>
  <c r="X17" i="5"/>
  <c r="G7" i="17" s="1"/>
  <c r="X23" i="4"/>
  <c r="G6" i="17" s="1"/>
  <c r="X33" i="2"/>
  <c r="G5" i="17" s="1"/>
  <c r="X33" i="1"/>
  <c r="G4" i="17" s="1"/>
  <c r="F8" i="17"/>
  <c r="U10" i="6"/>
  <c r="W17" i="5"/>
  <c r="F7" i="17" s="1"/>
  <c r="W23" i="4"/>
  <c r="F6" i="17" s="1"/>
  <c r="W33" i="2"/>
  <c r="F5" i="17" s="1"/>
  <c r="W33" i="1"/>
  <c r="F4" i="17" s="1"/>
  <c r="E7" i="17"/>
  <c r="V17" i="5"/>
  <c r="E6" i="17"/>
  <c r="V23" i="4"/>
  <c r="V33" i="2"/>
  <c r="E5" i="17" s="1"/>
  <c r="V12" i="1"/>
  <c r="V33" i="1" s="1"/>
  <c r="E4" i="17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5" i="1"/>
  <c r="H10" i="6"/>
  <c r="I10" i="6"/>
  <c r="J10" i="6"/>
  <c r="K10" i="6"/>
  <c r="L10" i="6"/>
  <c r="M10" i="6"/>
  <c r="N10" i="6"/>
  <c r="O10" i="6"/>
  <c r="P10" i="6"/>
  <c r="Q10" i="6"/>
  <c r="R10" i="6"/>
  <c r="G10" i="6"/>
  <c r="I17" i="5"/>
  <c r="J17" i="5"/>
  <c r="K17" i="5"/>
  <c r="L17" i="5"/>
  <c r="M17" i="5"/>
  <c r="N17" i="5"/>
  <c r="O17" i="5"/>
  <c r="P17" i="5"/>
  <c r="Q17" i="5"/>
  <c r="R17" i="5"/>
  <c r="S17" i="5"/>
  <c r="H17" i="5"/>
  <c r="I23" i="4"/>
  <c r="J23" i="4"/>
  <c r="K23" i="4"/>
  <c r="L23" i="4"/>
  <c r="M23" i="4"/>
  <c r="N23" i="4"/>
  <c r="O23" i="4"/>
  <c r="P23" i="4"/>
  <c r="Q23" i="4"/>
  <c r="R23" i="4"/>
  <c r="S23" i="4"/>
  <c r="H23" i="4"/>
  <c r="I33" i="2"/>
  <c r="J33" i="2"/>
  <c r="K33" i="2"/>
  <c r="L33" i="2"/>
  <c r="M33" i="2"/>
  <c r="N33" i="2"/>
  <c r="O33" i="2"/>
  <c r="P33" i="2"/>
  <c r="Q33" i="2"/>
  <c r="R33" i="2"/>
  <c r="S33" i="2"/>
  <c r="H33" i="2"/>
  <c r="I33" i="1"/>
  <c r="J33" i="1"/>
  <c r="K33" i="1"/>
  <c r="L33" i="1"/>
  <c r="M33" i="1"/>
  <c r="O33" i="1"/>
  <c r="P33" i="1"/>
  <c r="Q33" i="1"/>
  <c r="R33" i="1"/>
  <c r="S33" i="1"/>
  <c r="H33" i="1"/>
  <c r="E9" i="17" l="1"/>
  <c r="G9" i="17"/>
  <c r="F9" i="17"/>
  <c r="B14" i="17"/>
  <c r="B18" i="17"/>
  <c r="B17" i="17"/>
  <c r="B15" i="17"/>
  <c r="B16" i="17"/>
  <c r="T33" i="1"/>
  <c r="T22" i="4"/>
  <c r="B24" i="17" l="1"/>
  <c r="A23" i="4"/>
  <c r="T18" i="2"/>
  <c r="T10" i="6"/>
  <c r="C8" i="17" s="1"/>
  <c r="S9" i="6"/>
  <c r="S8" i="6"/>
  <c r="S7" i="6"/>
  <c r="S6" i="6"/>
  <c r="T7" i="5"/>
  <c r="T16" i="5"/>
  <c r="T14" i="5"/>
  <c r="T15" i="5"/>
  <c r="T11" i="5"/>
  <c r="T10" i="4"/>
  <c r="T14" i="4"/>
  <c r="T7" i="4"/>
  <c r="T6" i="4"/>
  <c r="T5" i="4"/>
  <c r="T20" i="2"/>
  <c r="T9" i="2"/>
  <c r="T10" i="2"/>
  <c r="T31" i="2"/>
  <c r="T30" i="2"/>
  <c r="T29" i="2"/>
  <c r="T24" i="2"/>
  <c r="T19" i="2"/>
  <c r="T14" i="2"/>
  <c r="T11" i="2"/>
  <c r="U33" i="1"/>
  <c r="C4" i="17" s="1"/>
  <c r="A33" i="2"/>
  <c r="A17" i="5"/>
  <c r="T32" i="2"/>
  <c r="T7" i="2"/>
  <c r="T23" i="2"/>
  <c r="S5" i="6"/>
  <c r="S10" i="6" s="1"/>
  <c r="B8" i="17" s="1"/>
  <c r="T10" i="5"/>
  <c r="T12" i="5"/>
  <c r="T13" i="5"/>
  <c r="T9" i="5"/>
  <c r="T8" i="5"/>
  <c r="T6" i="5"/>
  <c r="T5" i="5"/>
  <c r="T27" i="2"/>
  <c r="T28" i="2"/>
  <c r="T26" i="2"/>
  <c r="T25" i="2"/>
  <c r="T22" i="2"/>
  <c r="T21" i="2"/>
  <c r="T17" i="2"/>
  <c r="T16" i="2"/>
  <c r="T15" i="2"/>
  <c r="T13" i="2"/>
  <c r="T12" i="2"/>
  <c r="T8" i="2"/>
  <c r="T6" i="2"/>
  <c r="T5" i="2"/>
  <c r="T8" i="4"/>
  <c r="T11" i="4"/>
  <c r="T12" i="4"/>
  <c r="T13" i="4"/>
  <c r="T15" i="4"/>
  <c r="T16" i="4"/>
  <c r="T17" i="4"/>
  <c r="T18" i="4"/>
  <c r="T19" i="4"/>
  <c r="T20" i="4"/>
  <c r="T21" i="4"/>
  <c r="T9" i="4"/>
  <c r="A10" i="6"/>
  <c r="T33" i="2" l="1"/>
  <c r="D8" i="17"/>
  <c r="U17" i="5"/>
  <c r="C7" i="17" s="1"/>
  <c r="T17" i="5"/>
  <c r="B7" i="17" s="1"/>
  <c r="U23" i="4"/>
  <c r="C6" i="17" s="1"/>
  <c r="U33" i="2"/>
  <c r="C5" i="17" s="1"/>
  <c r="B4" i="17"/>
  <c r="D4" i="17" s="1"/>
  <c r="T23" i="4"/>
  <c r="B6" i="17" s="1"/>
  <c r="D7" i="17" l="1"/>
  <c r="C9" i="17"/>
  <c r="D6" i="17"/>
  <c r="B5" i="17"/>
  <c r="D5" i="17" s="1"/>
  <c r="B9" i="17" l="1"/>
  <c r="D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7" authorId="0" shapeId="0" xr:uid="{4DD6A393-E24B-432C-ACC3-FA76722B88BD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El color verde significa que ya cancelaron la mensualidad. Esta mensualidad fue entregada junto con las inscripciones.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C10" authorId="0" shapeId="0" xr:uid="{DBB47143-C4E4-46A1-A6BF-3CEFACEB714E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canceló la inscripción del 2do. Semestre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C7" authorId="0" shapeId="0" xr:uid="{E3600253-3B05-4F74-83B5-7C7B1537C030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está cancelada la inscripción del 2do. Semestre 2025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C9" authorId="0" shapeId="0" xr:uid="{D9B23F0F-38B9-4160-845A-7F27505B57EA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canceló la inscripción del 2do. Semestre
</t>
        </r>
      </text>
    </comment>
    <comment ref="C19" authorId="0" shapeId="0" xr:uid="{E69FF052-3A9B-4792-B3D9-5EDD7B0638E7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está cancelada la inscripción del 2do. Semestre 2025
</t>
        </r>
      </text>
    </comment>
  </commentList>
</comments>
</file>

<file path=xl/sharedStrings.xml><?xml version="1.0" encoding="utf-8"?>
<sst xmlns="http://schemas.openxmlformats.org/spreadsheetml/2006/main" count="707" uniqueCount="479">
  <si>
    <t>REGISTRO DE ESTUDIANTES INSCRITOS AL CENTRO DE FORMACIÓN K'ARMEL JUYUP'</t>
  </si>
  <si>
    <t>AÑO ESCOLAR 2025</t>
  </si>
  <si>
    <t>Álvarez de la Cruz</t>
  </si>
  <si>
    <t>Astrid Dayana</t>
  </si>
  <si>
    <t>Ana Camila Suceth</t>
  </si>
  <si>
    <t xml:space="preserve">Armis </t>
  </si>
  <si>
    <t>Ángel Manuel</t>
  </si>
  <si>
    <t xml:space="preserve">Batres Echeverria </t>
  </si>
  <si>
    <t>Marco Antonio</t>
  </si>
  <si>
    <t>Bonilla</t>
  </si>
  <si>
    <t>Jhorgeysil Ayleen</t>
  </si>
  <si>
    <t>Flores Soyoy</t>
  </si>
  <si>
    <t xml:space="preserve">Angie Delyanne </t>
  </si>
  <si>
    <t>Gómez Rodríguez</t>
  </si>
  <si>
    <t>Abi Michelle</t>
  </si>
  <si>
    <t>González Sí</t>
  </si>
  <si>
    <t xml:space="preserve">Jiménez Soyoy </t>
  </si>
  <si>
    <t>Sharon Alejandra</t>
  </si>
  <si>
    <t>Juárez Escalante</t>
  </si>
  <si>
    <t>Lisandro Saúl</t>
  </si>
  <si>
    <t>Macario Vicente</t>
  </si>
  <si>
    <t>Rosa María</t>
  </si>
  <si>
    <t xml:space="preserve">Mateo Sapón </t>
  </si>
  <si>
    <t>Tomás Santiago</t>
  </si>
  <si>
    <t>Austin Daniel</t>
  </si>
  <si>
    <t>Natareno Toc</t>
  </si>
  <si>
    <t>Jeffrey Mateo</t>
  </si>
  <si>
    <t>Patzán Hernández</t>
  </si>
  <si>
    <t>Rodas Zurdo</t>
  </si>
  <si>
    <t>Romero Méndez</t>
  </si>
  <si>
    <t>Katherine Mariana</t>
  </si>
  <si>
    <t>Roquel Caniche</t>
  </si>
  <si>
    <t>Edwin David</t>
  </si>
  <si>
    <t>Soc Grande</t>
  </si>
  <si>
    <t>Norman Isaac</t>
  </si>
  <si>
    <t>Rivas Velásquez</t>
  </si>
  <si>
    <t>Contreras Corea</t>
  </si>
  <si>
    <t>Alberth de Jesús</t>
  </si>
  <si>
    <t>Antoni Vinicio</t>
  </si>
  <si>
    <t xml:space="preserve">Nombre </t>
  </si>
  <si>
    <t xml:space="preserve">Apellidos </t>
  </si>
  <si>
    <t xml:space="preserve">% Beca </t>
  </si>
  <si>
    <t>N°</t>
  </si>
  <si>
    <t>Carrera Lobos</t>
  </si>
  <si>
    <t xml:space="preserve">Mia Scarlet Susana                                                             </t>
  </si>
  <si>
    <t>Chocoj Rodríguez</t>
  </si>
  <si>
    <t>Candy Mishelle</t>
  </si>
  <si>
    <t>Fernández Raymundo</t>
  </si>
  <si>
    <t>Daniela Jimena</t>
  </si>
  <si>
    <t>Hernández Mendoza</t>
  </si>
  <si>
    <t>Adam Carlos Enrique</t>
  </si>
  <si>
    <t>Hernández Vargas</t>
  </si>
  <si>
    <t>Higueros Burrión</t>
  </si>
  <si>
    <t>Jocón Barillas</t>
  </si>
  <si>
    <t>Marroquín Orantes</t>
  </si>
  <si>
    <t xml:space="preserve">Martin Ajiatáz </t>
  </si>
  <si>
    <t>Melany Anahí</t>
  </si>
  <si>
    <t>Meletz Carrera</t>
  </si>
  <si>
    <t>Méndez Ijchajchal</t>
  </si>
  <si>
    <t>Jeremy Alexis</t>
  </si>
  <si>
    <t>Ilbia Rosalia</t>
  </si>
  <si>
    <t>Ordoñez Zurdo</t>
  </si>
  <si>
    <t>Pedro Josué</t>
  </si>
  <si>
    <t>Sherlin Esmeralda</t>
  </si>
  <si>
    <t>Rangel Foronda</t>
  </si>
  <si>
    <t>Solis Salguero</t>
  </si>
  <si>
    <t>Iñaki Lorenzo Antonio</t>
  </si>
  <si>
    <t>Kristofer Augusto</t>
  </si>
  <si>
    <t>Londy María</t>
  </si>
  <si>
    <t>Yoque Domingo</t>
  </si>
  <si>
    <t>Erick Andrés</t>
  </si>
  <si>
    <t>Chaman</t>
  </si>
  <si>
    <t>Jessica Paola</t>
  </si>
  <si>
    <t>Figueroa Martínez</t>
  </si>
  <si>
    <t>Eddy Randolfo</t>
  </si>
  <si>
    <t>Mauricio López</t>
  </si>
  <si>
    <t>Wendy Johana</t>
  </si>
  <si>
    <t>Méndez Jacobo</t>
  </si>
  <si>
    <t>Axel Emanuel</t>
  </si>
  <si>
    <t>Patzán Morales</t>
  </si>
  <si>
    <t>Cristian Rodolfo</t>
  </si>
  <si>
    <t>Axel Eduardo</t>
  </si>
  <si>
    <t xml:space="preserve">Saban </t>
  </si>
  <si>
    <t>Santizo de León</t>
  </si>
  <si>
    <t>Wilson Alexander</t>
  </si>
  <si>
    <t>Sicay Pérez</t>
  </si>
  <si>
    <t>Mayda Nicol</t>
  </si>
  <si>
    <t>Subuyuj Morales</t>
  </si>
  <si>
    <t>Tiul Coc</t>
  </si>
  <si>
    <t>Villagrán Mijangos</t>
  </si>
  <si>
    <t>Ajichiqui Diaz</t>
  </si>
  <si>
    <t>Lesly Nohemí</t>
  </si>
  <si>
    <t>Castillo Alay</t>
  </si>
  <si>
    <t>Emerson Aimar</t>
  </si>
  <si>
    <t>Daniela Abigail</t>
  </si>
  <si>
    <t>Barrios Cuyun</t>
  </si>
  <si>
    <t>Gutiérrez Gálvez</t>
  </si>
  <si>
    <t>Francisco Jesús</t>
  </si>
  <si>
    <t>Rodas Villeda</t>
  </si>
  <si>
    <t>Rodrigo Alexander</t>
  </si>
  <si>
    <t>Velásquez Cano</t>
  </si>
  <si>
    <t>Marta Julia Rodríguez</t>
  </si>
  <si>
    <t>Diego Andreé</t>
  </si>
  <si>
    <t>Andrea Paola Zurdo Batz</t>
  </si>
  <si>
    <t>Encargado/a</t>
  </si>
  <si>
    <t>Ismalé Pérez</t>
  </si>
  <si>
    <t>Sandra Pérez</t>
  </si>
  <si>
    <t xml:space="preserve">Fecha de nacimiento </t>
  </si>
  <si>
    <t>Fecha de nacimiento</t>
  </si>
  <si>
    <t xml:space="preserve">Edward Steven </t>
  </si>
  <si>
    <t xml:space="preserve">María del Rosartio Ortiz Rosales </t>
  </si>
  <si>
    <t xml:space="preserve">Mansia Pérez </t>
  </si>
  <si>
    <t>Kristen Nicol</t>
  </si>
  <si>
    <t>Evelin Marleni Carrera Cruz</t>
  </si>
  <si>
    <t>Aura Estela Chiquitó</t>
  </si>
  <si>
    <t>Mario Martín Patzán Ortiz</t>
  </si>
  <si>
    <t>Tel. Encargado</t>
  </si>
  <si>
    <t>Montes Arreola</t>
  </si>
  <si>
    <t>Paula Melissa Estrada Arreola</t>
  </si>
  <si>
    <t>5932 1086</t>
  </si>
  <si>
    <t>Toledo Chiquitó</t>
  </si>
  <si>
    <t>Reina Araceli Caniche Nicolás</t>
  </si>
  <si>
    <t>5113 9210</t>
  </si>
  <si>
    <t>5693 4232</t>
  </si>
  <si>
    <t>3304 9629</t>
  </si>
  <si>
    <t>5615 4185</t>
  </si>
  <si>
    <t>4443 1110</t>
  </si>
  <si>
    <t>3118 0246</t>
  </si>
  <si>
    <t xml:space="preserve">Váldez Urbina </t>
  </si>
  <si>
    <t xml:space="preserve">Jennyfer Ximena </t>
  </si>
  <si>
    <t>Julia Virginia Urbina  Váldez</t>
  </si>
  <si>
    <t>Jefersón Estiven</t>
  </si>
  <si>
    <t>Váldez Urbina</t>
  </si>
  <si>
    <t>Julia Urbina</t>
  </si>
  <si>
    <t>3692 1477</t>
  </si>
  <si>
    <t>4811 7364</t>
  </si>
  <si>
    <t>Prisly Adairiz</t>
  </si>
  <si>
    <t>Amalia Muñoz</t>
  </si>
  <si>
    <t>5124 2275</t>
  </si>
  <si>
    <t>Jubitza Echeverría Contreras</t>
  </si>
  <si>
    <t>5045 7969</t>
  </si>
  <si>
    <t>María Fernanda Miranda Paredes</t>
  </si>
  <si>
    <t>4144 6981</t>
  </si>
  <si>
    <t>Julissa Xiomara Soyoy Tuquer</t>
  </si>
  <si>
    <t>3709 6020</t>
  </si>
  <si>
    <t>Amaya Pérez</t>
  </si>
  <si>
    <t xml:space="preserve">Ingrid Aracely Zelada Chinchilla </t>
  </si>
  <si>
    <t>5961 2899</t>
  </si>
  <si>
    <t>Silvia Azucena Bonilla Vanegas</t>
  </si>
  <si>
    <t>3913 4349</t>
  </si>
  <si>
    <t>Enma Edelmira Rodríguez Estrada</t>
  </si>
  <si>
    <t>5693 9034</t>
  </si>
  <si>
    <t>Juan Ramón Chavez Alvarado</t>
  </si>
  <si>
    <t>4761 9083</t>
  </si>
  <si>
    <t>Ángel Ricardo</t>
  </si>
  <si>
    <t>Méndez Chávez</t>
  </si>
  <si>
    <t>Linda Ssusset Mendoza Medrano</t>
  </si>
  <si>
    <t>3813 3938</t>
  </si>
  <si>
    <t>Debora Raquel Ajiatás Hernández</t>
  </si>
  <si>
    <t>5855 9961</t>
  </si>
  <si>
    <t>María Elvira Sí Tot</t>
  </si>
  <si>
    <t>4358 6033</t>
  </si>
  <si>
    <t xml:space="preserve">Reyna Josefina Velásquez Ríos </t>
  </si>
  <si>
    <t>AÑO ESCOLAR 2025- 2° Básico</t>
  </si>
  <si>
    <t>AÑO ESCOLAR 2025- 1° Básico</t>
  </si>
  <si>
    <t>Gumercinda Concepción Escalante Hernández</t>
  </si>
  <si>
    <t>5699 3330</t>
  </si>
  <si>
    <t>AÑO ESCOLAR 2025 - 3° Básico</t>
  </si>
  <si>
    <t>AÑO ESCOLAR 2025. 4° Bachillerato</t>
  </si>
  <si>
    <t>PRIMERO BÁSICO</t>
  </si>
  <si>
    <t>SEGUNDO BÁSICO</t>
  </si>
  <si>
    <t>TERCERO BÁSICO</t>
  </si>
  <si>
    <t>CUARTO BACHILLERATO</t>
  </si>
  <si>
    <t>Rafael Baíl</t>
  </si>
  <si>
    <t>Damaris Anay</t>
  </si>
  <si>
    <t>Ofelia Baíl Gómez</t>
  </si>
  <si>
    <t>4576 9306</t>
  </si>
  <si>
    <t>3304 9620 (WhatsApp) 4844 0150 ( Llamadas)</t>
  </si>
  <si>
    <t>Julio Alejandro Jeremiah</t>
  </si>
  <si>
    <t>Dolores Ijchajchal Gónzalez</t>
  </si>
  <si>
    <t>26-012009</t>
  </si>
  <si>
    <t>5182 6697</t>
  </si>
  <si>
    <t>María Nieves García</t>
  </si>
  <si>
    <t>Hilda Salguero</t>
  </si>
  <si>
    <t>Jeferson Omar Israel</t>
  </si>
  <si>
    <t xml:space="preserve">Glenda Patricia Foronda </t>
  </si>
  <si>
    <t>5976 1035</t>
  </si>
  <si>
    <t xml:space="preserve">López Flores </t>
  </si>
  <si>
    <t>Yamíli Jimena</t>
  </si>
  <si>
    <t xml:space="preserve">Claudia Elizabet Flores Hernández </t>
  </si>
  <si>
    <t>Scarlett Dajane</t>
  </si>
  <si>
    <t>Gloria Mirna Orantes</t>
  </si>
  <si>
    <t>Karla Corea</t>
  </si>
  <si>
    <t>4742 4386</t>
  </si>
  <si>
    <t>Sharóm Solansh Gabriela</t>
  </si>
  <si>
    <t>Ochoa Quisquina</t>
  </si>
  <si>
    <t>Antonieta Quisquina Locón</t>
  </si>
  <si>
    <t>Quisquina Locon</t>
  </si>
  <si>
    <t xml:space="preserve">Celia Chamán </t>
  </si>
  <si>
    <t xml:space="preserve">Patzan Díaz </t>
  </si>
  <si>
    <t>50817240/ 33355710</t>
  </si>
  <si>
    <t>Katheryn Amarylis</t>
  </si>
  <si>
    <t xml:space="preserve">Juan Carlois Villagrán </t>
  </si>
  <si>
    <t>Cristofer Emilio Alejandro</t>
  </si>
  <si>
    <t>Ana Marleni Morales Castillo</t>
  </si>
  <si>
    <t>Ortíz Yax</t>
  </si>
  <si>
    <t>Evelyn Marleni Yax</t>
  </si>
  <si>
    <t>Emily Julissa</t>
  </si>
  <si>
    <t>Andrea Betzabé Barillas Villanueva</t>
  </si>
  <si>
    <t>4964 7451</t>
  </si>
  <si>
    <t>Jayra Baneza</t>
  </si>
  <si>
    <t>Hermelindo Tiul Coc</t>
  </si>
  <si>
    <t>3044 4545</t>
  </si>
  <si>
    <t>Ghylaine Cristina</t>
  </si>
  <si>
    <t>Ozuna Barillas</t>
  </si>
  <si>
    <t>Jessica Mariela Ozuna Barillas</t>
  </si>
  <si>
    <t>María Elizabeth de la Soledad</t>
  </si>
  <si>
    <t xml:space="preserve">Victoria Sabán </t>
  </si>
  <si>
    <t>4502 8704</t>
  </si>
  <si>
    <t>3990 5979 (Abuela) 45381094 (Mamá)</t>
  </si>
  <si>
    <t>Karely Nicole</t>
  </si>
  <si>
    <t>Nolvia Liseth Vargas Orellana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</si>
  <si>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</si>
  <si>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</si>
  <si>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</si>
  <si>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</si>
  <si>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</si>
  <si>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</si>
  <si>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</si>
  <si>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</si>
  <si>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</si>
  <si>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</si>
  <si>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</si>
  <si>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</si>
  <si>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</si>
  <si>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PAGO MENSUALIDAD - 2025</t>
  </si>
  <si>
    <t>Mayra Ester Aguilar/Huberto Randolfo Figueroa Natareno</t>
  </si>
  <si>
    <t>Sharon Dayan</t>
  </si>
  <si>
    <t>Ique González</t>
  </si>
  <si>
    <t>Daniela Percel Ique</t>
  </si>
  <si>
    <t>5013 9540 (Papá) /5976 1478 (Mamá)</t>
  </si>
  <si>
    <t>Lesly Saydett Cano</t>
  </si>
  <si>
    <t>Caterine Helizabeth</t>
  </si>
  <si>
    <t>Angelin Daniela</t>
  </si>
  <si>
    <t>Angelly Marleni Noemy</t>
  </si>
  <si>
    <t>Tzul Quiñónez</t>
  </si>
  <si>
    <t>Hamilthon Esaú</t>
  </si>
  <si>
    <t>Mario Martin</t>
  </si>
  <si>
    <t>Martina Fátima Saraí</t>
  </si>
  <si>
    <t>QUINTO BACHILLERATO</t>
  </si>
  <si>
    <t>Ana Macario Vicente</t>
  </si>
  <si>
    <t>5868 2459</t>
  </si>
  <si>
    <t>Juana Janeth Raymundo Pop</t>
  </si>
  <si>
    <t>3010 0349</t>
  </si>
  <si>
    <t>Morales Agustín</t>
  </si>
  <si>
    <t>Ilbia Rosal+ia Agustín Yol</t>
  </si>
  <si>
    <t>3795 0050</t>
  </si>
  <si>
    <t>Reina Marisol</t>
  </si>
  <si>
    <t>Veralicia Alay Samayoa</t>
  </si>
  <si>
    <t>4264 5532</t>
  </si>
  <si>
    <t xml:space="preserve">Verónica Patricia Lobos </t>
  </si>
  <si>
    <t>4221 5210</t>
  </si>
  <si>
    <t>Eva López</t>
  </si>
  <si>
    <t>Mildre Aracely</t>
  </si>
  <si>
    <t>Salalá Soyos</t>
  </si>
  <si>
    <t>María Sandra Soyos Xocoxic</t>
  </si>
  <si>
    <t>4574 4662</t>
  </si>
  <si>
    <t xml:space="preserve">Daphne Ahtziri Desiré </t>
  </si>
  <si>
    <t>Dominga Elizabeth Natareno</t>
  </si>
  <si>
    <t>Domingo Elizabeth Natareno</t>
  </si>
  <si>
    <t>3589 1672</t>
  </si>
  <si>
    <t>González Ordoñez</t>
  </si>
  <si>
    <t>Dominga Díaz</t>
  </si>
  <si>
    <t>4746 7512</t>
  </si>
  <si>
    <t>Peren Otzoy</t>
  </si>
  <si>
    <t>Elvira Peren Otzoy</t>
  </si>
  <si>
    <t>3622 3361</t>
  </si>
  <si>
    <t xml:space="preserve">Simón Peren </t>
  </si>
  <si>
    <t>Candy Fabiola Odeth</t>
  </si>
  <si>
    <t>Morataya Patzán</t>
  </si>
  <si>
    <t>Estefany Paola</t>
  </si>
  <si>
    <t>María de los Ángeles Patzán</t>
  </si>
  <si>
    <t>4295 7039</t>
  </si>
  <si>
    <t xml:space="preserve">Molina Case </t>
  </si>
  <si>
    <t>Jhoshua Gamaliel</t>
  </si>
  <si>
    <t>Jonny Gamaliel Molina Contreras</t>
  </si>
  <si>
    <t>3591 1949</t>
  </si>
  <si>
    <t>Randy Alexander</t>
  </si>
  <si>
    <t xml:space="preserve">Ingrid Dinora Cifuentes Cruz </t>
  </si>
  <si>
    <t>3575 9655</t>
  </si>
  <si>
    <t xml:space="preserve">Benito Pérez </t>
  </si>
  <si>
    <t>Kiara Julissa Leilany</t>
  </si>
  <si>
    <t>Jezly Robersy Mirella Benito López</t>
  </si>
  <si>
    <t>4006 3989</t>
  </si>
  <si>
    <t>Yesenia de la Cruz García</t>
  </si>
  <si>
    <t>3909 2709</t>
  </si>
  <si>
    <t>Alexandra Anahí Yanet</t>
  </si>
  <si>
    <t>Celia Yaneth Burrión León</t>
  </si>
  <si>
    <t xml:space="preserve">López Ventura </t>
  </si>
  <si>
    <t xml:space="preserve">Cristofer Misael </t>
  </si>
  <si>
    <t xml:space="preserve">Ofelia López Ventura </t>
  </si>
  <si>
    <t>4292 3734</t>
  </si>
  <si>
    <t>Beatriz Soc</t>
  </si>
  <si>
    <t>4844 2237</t>
  </si>
  <si>
    <t>Dora Luz Gálvez</t>
  </si>
  <si>
    <t>5480 3230</t>
  </si>
  <si>
    <t xml:space="preserve">Jaqueline Pamela </t>
  </si>
  <si>
    <t>5785 5344</t>
  </si>
  <si>
    <t>Sánchez Pérez</t>
  </si>
  <si>
    <t xml:space="preserve">Cristian Manuel </t>
  </si>
  <si>
    <t>Cristian Manuel Sánchez</t>
  </si>
  <si>
    <t>4178 0069</t>
  </si>
  <si>
    <t>Molina Case</t>
  </si>
  <si>
    <t>Maryury Daniela</t>
  </si>
  <si>
    <t>4105 8068/51100327</t>
  </si>
  <si>
    <t>Fernández Reyes</t>
  </si>
  <si>
    <t>William Jesús</t>
  </si>
  <si>
    <t>Mayra Marilú Reyes Chilin</t>
  </si>
  <si>
    <t>5965 0988</t>
  </si>
  <si>
    <t>Rudy Rodolfo Patzán Gómez</t>
  </si>
  <si>
    <t>3982 1733</t>
  </si>
  <si>
    <t>Fermina Pérez Pérez</t>
  </si>
  <si>
    <t>Ponce Suchite</t>
  </si>
  <si>
    <t>Carmen Sarahi</t>
  </si>
  <si>
    <t>Carmen María Suchite</t>
  </si>
  <si>
    <t>5118 3066</t>
  </si>
  <si>
    <t>Velasquez Raxón</t>
  </si>
  <si>
    <t>Franklin Ricardo</t>
  </si>
  <si>
    <t>Sabrina Siomara Raxón González</t>
  </si>
  <si>
    <t>3427 6693</t>
  </si>
  <si>
    <t>Carolina Jasmin Yoque Domingo</t>
  </si>
  <si>
    <t>3737 0430</t>
  </si>
  <si>
    <t>González Yoc</t>
  </si>
  <si>
    <t xml:space="preserve">Dulce María José </t>
  </si>
  <si>
    <t>Elsa Eugenia Yoc Xiquin</t>
  </si>
  <si>
    <t>5596 0893</t>
  </si>
  <si>
    <t>Gutiérrez Salazar</t>
  </si>
  <si>
    <t>Ligia Virginia</t>
  </si>
  <si>
    <t>Ana Mabely Salazar Flores</t>
  </si>
  <si>
    <t>4939 5804</t>
  </si>
  <si>
    <t>María Maricela Sapón Sulugüi</t>
  </si>
  <si>
    <t>3296 5044</t>
  </si>
  <si>
    <t>Entregado</t>
  </si>
  <si>
    <t xml:space="preserve">Entregado </t>
  </si>
  <si>
    <t>GRADO</t>
  </si>
  <si>
    <t xml:space="preserve">TOTAL </t>
  </si>
  <si>
    <t>ENTREGADO EN DIFERENTES FECHAS</t>
  </si>
  <si>
    <t xml:space="preserve">RESUMEN GENERAL DE DONACIONES MENSUALES </t>
  </si>
  <si>
    <t>GENERAL DE DONACIONES</t>
  </si>
  <si>
    <t xml:space="preserve">ABRIL </t>
  </si>
  <si>
    <t>MAYO</t>
  </si>
  <si>
    <t>Joselin Michelle</t>
  </si>
  <si>
    <t>Entrega marzo</t>
  </si>
  <si>
    <t>Entrega Marzo</t>
  </si>
  <si>
    <t>Entrega del 01 de abril de 2025</t>
  </si>
  <si>
    <t>Entrega del 21 de abril de 2025</t>
  </si>
  <si>
    <t>Entrega 21 de abril</t>
  </si>
  <si>
    <t>DESCRIPCIÓN POR MESES</t>
  </si>
  <si>
    <t>Entrega 30 de mayo de 2025</t>
  </si>
  <si>
    <t>Morales Mazate</t>
  </si>
  <si>
    <t>Génesis Sarai</t>
  </si>
  <si>
    <t>INSCRIPCIONES 2DO SEMESTRE</t>
  </si>
  <si>
    <t>Cuarto Bachillerato</t>
  </si>
  <si>
    <t>Quinto Bachillerato</t>
  </si>
  <si>
    <t xml:space="preserve">Pago de Inscripción 2do semestre </t>
  </si>
  <si>
    <t>Entregado el día miércoles 18 de junio: Q. 2100</t>
  </si>
  <si>
    <t xml:space="preserve">MULTAS TRABAJO COMUNITARIO </t>
  </si>
  <si>
    <t>Apellidos</t>
  </si>
  <si>
    <t>Nombre</t>
  </si>
  <si>
    <t xml:space="preserve">Nombre de la Madre </t>
  </si>
  <si>
    <t>Alvarez de la C.</t>
  </si>
  <si>
    <t>Diana Sucely Pérez Zelada</t>
  </si>
  <si>
    <t xml:space="preserve">Méndez C.  </t>
  </si>
  <si>
    <t>Gladys Marleni Chávez A.</t>
  </si>
  <si>
    <t>María Nievez García</t>
  </si>
  <si>
    <t>Benito Pérez</t>
  </si>
  <si>
    <t>Kiara Julissa leilany</t>
  </si>
  <si>
    <t>María Cristina Pérez Castro</t>
  </si>
  <si>
    <t>Johny Gamaliel Molina C.</t>
  </si>
  <si>
    <t>Celia Chaman</t>
  </si>
  <si>
    <t>Julia Virginia Urbina M.</t>
  </si>
  <si>
    <t>Fernández R.</t>
  </si>
  <si>
    <t>Juana Jeaneth Raymundo Pop</t>
  </si>
  <si>
    <t>Gómez R</t>
  </si>
  <si>
    <t>Marta Julia Rodríguez de G.</t>
  </si>
  <si>
    <t>Jesica Mariela Ozuna</t>
  </si>
  <si>
    <t>González O</t>
  </si>
  <si>
    <t>Gonzáles Yoc</t>
  </si>
  <si>
    <t>Dulce María</t>
  </si>
  <si>
    <t>Villagran M.</t>
  </si>
  <si>
    <t>Cristina Mijangos Cano</t>
  </si>
  <si>
    <t>Gutierrez G.</t>
  </si>
  <si>
    <t>Dora Luz Gálvez Pú</t>
  </si>
  <si>
    <t>Patzán M.</t>
  </si>
  <si>
    <t xml:space="preserve">Rudy Rodolfo Patzán Gómez </t>
  </si>
  <si>
    <t>Hernández M.</t>
  </si>
  <si>
    <t>Linda Mendoza Medrano</t>
  </si>
  <si>
    <t>Glenda Patricia Foronda H.</t>
  </si>
  <si>
    <t>Hernández V.</t>
  </si>
  <si>
    <t>Nolvia Lizeth Vargas Orellana</t>
  </si>
  <si>
    <t>Ruth Abigail González Paredes</t>
  </si>
  <si>
    <t xml:space="preserve">Ismalé Pérez </t>
  </si>
  <si>
    <t>Sandra Pérez del Cid</t>
  </si>
  <si>
    <t>Rivas V.</t>
  </si>
  <si>
    <t>Martina Fatima Sarai</t>
  </si>
  <si>
    <t>Reyna Velásquez Ríos</t>
  </si>
  <si>
    <t>Mario Alfredo Rodas de Leon</t>
  </si>
  <si>
    <t>Emely Julissa</t>
  </si>
  <si>
    <t>Yoque D.</t>
  </si>
  <si>
    <t xml:space="preserve">Carolina Yazmin Yoque </t>
  </si>
  <si>
    <t>López Flores</t>
  </si>
  <si>
    <t>Claudia Elizabeth Flores H.</t>
  </si>
  <si>
    <t>López Ventura</t>
  </si>
  <si>
    <t>Cristofer Misael</t>
  </si>
  <si>
    <t>Ofelia López Ventura</t>
  </si>
  <si>
    <t>Romero Mendez</t>
  </si>
  <si>
    <t>María Felisa Mendez Armira</t>
  </si>
  <si>
    <t>Rosa Maria</t>
  </si>
  <si>
    <t>Reina Aracely Caniche Nicolas</t>
  </si>
  <si>
    <t>Carmen Maria Suchite M.</t>
  </si>
  <si>
    <t>Marroquín O.</t>
  </si>
  <si>
    <t>Scarlett Dejane D</t>
  </si>
  <si>
    <t>Scarlett Dejane Marroquín O.</t>
  </si>
  <si>
    <t>Melany Anahi</t>
  </si>
  <si>
    <t>Dámaris Ajitáz /Debora</t>
  </si>
  <si>
    <t xml:space="preserve">María Elizabeth </t>
  </si>
  <si>
    <t>Victoria Saban</t>
  </si>
  <si>
    <t>Eva López Mendoza</t>
  </si>
  <si>
    <t>Cristian Manuel</t>
  </si>
  <si>
    <t>María Isabel Pérez López</t>
  </si>
  <si>
    <t>Mateo Sapón</t>
  </si>
  <si>
    <t>María Marisela Sapón Sulugüí</t>
  </si>
  <si>
    <t>Méndez J.</t>
  </si>
  <si>
    <t>Caterin Helizabeth</t>
  </si>
  <si>
    <t>Amparo Elizabeth Jacobo Yool</t>
  </si>
  <si>
    <t>Ochoa Q.</t>
  </si>
  <si>
    <t>Angelín Daniela</t>
  </si>
  <si>
    <t>Antonieta Quisquinai Locon</t>
  </si>
  <si>
    <t>Wendy Marizol Zurdo Batz</t>
  </si>
  <si>
    <t xml:space="preserve">Santizo </t>
  </si>
  <si>
    <t>Cecibel Beatriz de León M.</t>
  </si>
  <si>
    <t>Mayda Nicol Yessica</t>
  </si>
  <si>
    <t>Enma Marleni Soc Grande</t>
  </si>
  <si>
    <t>Toledo C.</t>
  </si>
  <si>
    <t>Aura Estela Chiquitó Tayun</t>
  </si>
  <si>
    <t>Andrea Betzabé Barrillas V.</t>
  </si>
  <si>
    <t>Total</t>
  </si>
  <si>
    <t>Pago impresión de Fotografía</t>
  </si>
  <si>
    <t>Exonerada</t>
  </si>
  <si>
    <t>TOTAL A ENTREGAR</t>
  </si>
  <si>
    <t xml:space="preserve">Batres </t>
  </si>
  <si>
    <t>Jubitza Echeverría</t>
  </si>
  <si>
    <t>Entrega 1 de julio de 2025</t>
  </si>
  <si>
    <t>Ajiquichi Diaz</t>
  </si>
  <si>
    <t>Exonerada 50%</t>
  </si>
  <si>
    <t xml:space="preserve">Cristina Ozuna </t>
  </si>
  <si>
    <t>Segundo Básico</t>
  </si>
  <si>
    <t>Entrega 4 de agosto</t>
  </si>
  <si>
    <t xml:space="preserve">Entregado el día lunes 4 de agosto: Q. </t>
  </si>
  <si>
    <t>Jubitza Ninnet Case</t>
  </si>
  <si>
    <t>Antonia Quisquina Locón</t>
  </si>
  <si>
    <t>28 de julio</t>
  </si>
  <si>
    <t>7 de agosto</t>
  </si>
  <si>
    <t>19 de agosto</t>
  </si>
  <si>
    <t>Total pago de limpieza</t>
  </si>
  <si>
    <t>Pago Limpieza a Jairi</t>
  </si>
  <si>
    <t>Lo hizo</t>
  </si>
  <si>
    <t xml:space="preserve">Entrega 1 de septiembre </t>
  </si>
  <si>
    <t>Pago de Inscripción</t>
  </si>
  <si>
    <t>Valdez Urbina Jennifer Ximena</t>
  </si>
  <si>
    <t>Valdez Urbina Jefferson Steven</t>
  </si>
  <si>
    <t>1 de septiembre</t>
  </si>
  <si>
    <t>Natareno</t>
  </si>
  <si>
    <t>Mateo y Dapfhne</t>
  </si>
  <si>
    <t xml:space="preserve">Nancy Ayala </t>
  </si>
  <si>
    <t>Nancy Maribel Díaz Rueda / Ana María Barrientos</t>
  </si>
  <si>
    <t>50817240 33355710</t>
  </si>
  <si>
    <t>María Boch / Claudia Armis Boch (mamá)</t>
  </si>
  <si>
    <t>3191 2974 (Abuela) / 59003561 (Abuelo)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</si>
</sst>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rgb="FF000000"/>
      <name val="Calibri"/>
      <family val="2"/>
      <scheme val="minor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2"/>
      <color rgb="FF0070C0"/>
      <name val="Century Gothic"/>
      <family val="2"/>
    </font>
    <font>
      <sz val="11"/>
      <color rgb="FF0070C0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1"/>
      <color theme="1"/>
      <name val="Calibri"/>
      <family val="2"/>
      <scheme val="minor"/>
    </font>
    <font>
      <b/>
      <sz val="10"/>
      <name val="Century Gothic"/>
      <family val="2"/>
    </font>
    <font>
      <b/>
      <sz val="9"/>
      <name val="Century Gothic"/>
      <family val="2"/>
    </font>
    <font>
      <b/>
      <sz val="8"/>
      <name val="Century Gothic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badi"/>
      <family val="2"/>
    </font>
    <font>
      <b/>
      <sz val="10"/>
      <color theme="1"/>
      <name val="Abadi"/>
      <family val="2"/>
    </font>
    <font>
      <u/>
      <sz val="12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0" xfId="0" applyFont="1"/>
    <xf numFmtId="0" fontId="13" fillId="4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2" xfId="0" applyFont="1" applyBorder="1"/>
    <xf numFmtId="0" fontId="12" fillId="0" borderId="2" xfId="0" applyFont="1" applyBorder="1"/>
    <xf numFmtId="0" fontId="12" fillId="0" borderId="0" xfId="0" applyFont="1" applyBorder="1"/>
    <xf numFmtId="0" fontId="6" fillId="0" borderId="1" xfId="0" applyFont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17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0" xfId="0" applyFont="1" applyFill="1"/>
    <xf numFmtId="0" fontId="17" fillId="0" borderId="0" xfId="0" applyFont="1"/>
    <xf numFmtId="0" fontId="19" fillId="0" borderId="0" xfId="0" applyFont="1"/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/>
    <xf numFmtId="0" fontId="22" fillId="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/>
    </xf>
    <xf numFmtId="9" fontId="18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7" fillId="0" borderId="0" xfId="0" applyFont="1" applyBorder="1" applyAlignment="1">
      <alignment wrapText="1"/>
    </xf>
    <xf numFmtId="0" fontId="17" fillId="0" borderId="2" xfId="0" applyFont="1" applyBorder="1"/>
    <xf numFmtId="0" fontId="6" fillId="0" borderId="1" xfId="0" applyFont="1" applyBorder="1" applyAlignment="1">
      <alignment vertical="center"/>
    </xf>
    <xf numFmtId="0" fontId="21" fillId="0" borderId="0" xfId="0" applyFont="1"/>
    <xf numFmtId="0" fontId="0" fillId="0" borderId="1" xfId="0" applyBorder="1"/>
    <xf numFmtId="0" fontId="21" fillId="0" borderId="1" xfId="0" applyFont="1" applyBorder="1"/>
    <xf numFmtId="0" fontId="0" fillId="0" borderId="0" xfId="0" applyBorder="1"/>
    <xf numFmtId="0" fontId="21" fillId="0" borderId="0" xfId="0" applyFont="1" applyBorder="1"/>
    <xf numFmtId="0" fontId="0" fillId="0" borderId="0" xfId="0" applyFill="1" applyBorder="1"/>
    <xf numFmtId="0" fontId="3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8" fillId="0" borderId="0" xfId="0" applyFont="1"/>
    <xf numFmtId="0" fontId="0" fillId="0" borderId="0" xfId="0" applyFont="1"/>
    <xf numFmtId="0" fontId="0" fillId="0" borderId="1" xfId="0" applyFont="1" applyBorder="1"/>
    <xf numFmtId="0" fontId="1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16" fontId="4" fillId="16" borderId="0" xfId="0" applyNumberFormat="1" applyFont="1" applyFill="1" applyAlignment="1">
      <alignment horizontal="center" vertical="center"/>
    </xf>
    <xf numFmtId="16" fontId="4" fillId="15" borderId="0" xfId="0" applyNumberFormat="1" applyFont="1" applyFill="1" applyAlignment="1">
      <alignment horizontal="center" vertical="center"/>
    </xf>
    <xf numFmtId="16" fontId="4" fillId="15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/>
    <xf numFmtId="0" fontId="17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8" fillId="0" borderId="1" xfId="0" applyFont="1" applyBorder="1"/>
    <xf numFmtId="0" fontId="29" fillId="0" borderId="0" xfId="0" applyFont="1"/>
    <xf numFmtId="0" fontId="21" fillId="0" borderId="6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4" fontId="3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D66B-676A-41C2-AC81-8C9BB775DBF1}">
  <dimension ref="A1:AA37"/>
  <sheetViews>
    <sheetView tabSelected="1" zoomScale="70" zoomScaleNormal="70" workbookViewId="0">
      <pane ySplit="4" topLeftCell="A5" activePane="bottomLeft" state="frozen"/>
      <selection pane="bottomLeft" activeCell="F41" sqref="F41"/>
    </sheetView>
  </sheetViews>
  <sheetFormatPr baseColWidth="10" defaultColWidth="11.5703125" defaultRowHeight="16.5" x14ac:dyDescent="0.3"/>
  <cols>
    <col min="1" max="1" width="5.5703125" style="2" customWidth="1"/>
    <col min="2" max="3" width="22.7109375" style="1" customWidth="1"/>
    <col min="4" max="4" width="14.28515625" style="2" customWidth="1"/>
    <col min="5" max="5" width="14.28515625" style="1" customWidth="1"/>
    <col min="6" max="6" width="31.5703125" style="27" customWidth="1"/>
    <col min="7" max="7" width="19.5703125" style="2" customWidth="1"/>
    <col min="8" max="20" width="10" style="1" customWidth="1"/>
    <col min="21" max="22" width="11.5703125" style="1" customWidth="1"/>
    <col min="23" max="23" width="13.28515625" style="1" customWidth="1"/>
    <col min="24" max="25" width="11.5703125" style="1" customWidth="1"/>
    <col min="26" max="26" width="11.5703125" style="1"/>
    <col min="27" max="27" width="14.7109375" style="1" customWidth="1"/>
    <col min="28" max="16384" width="11.5703125" style="1"/>
  </cols>
  <sheetData>
    <row r="1" spans="1:27" ht="22.5" x14ac:dyDescent="0.3">
      <c r="A1" s="10" t="s">
        <v>0</v>
      </c>
    </row>
    <row r="2" spans="1:27" x14ac:dyDescent="0.3">
      <c r="A2" s="11" t="s">
        <v>164</v>
      </c>
    </row>
    <row r="3" spans="1:27" ht="27" customHeight="1" x14ac:dyDescent="0.3">
      <c r="H3" s="181" t="s">
        <v>235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3"/>
    </row>
    <row r="4" spans="1:27" s="78" customFormat="1" ht="31.9" customHeight="1" x14ac:dyDescent="0.25">
      <c r="A4" s="76" t="s">
        <v>42</v>
      </c>
      <c r="B4" s="76" t="s">
        <v>39</v>
      </c>
      <c r="C4" s="76" t="s">
        <v>40</v>
      </c>
      <c r="D4" s="76" t="s">
        <v>107</v>
      </c>
      <c r="E4" s="76" t="s">
        <v>41</v>
      </c>
      <c r="F4" s="76" t="s">
        <v>104</v>
      </c>
      <c r="G4" s="76" t="s">
        <v>116</v>
      </c>
      <c r="H4" s="101" t="s">
        <v>222</v>
      </c>
      <c r="I4" s="101" t="s">
        <v>223</v>
      </c>
      <c r="J4" s="101" t="s">
        <v>224</v>
      </c>
      <c r="K4" s="101" t="s">
        <v>225</v>
      </c>
      <c r="L4" s="101" t="s">
        <v>226</v>
      </c>
      <c r="M4" s="101" t="s">
        <v>227</v>
      </c>
      <c r="N4" s="101" t="s">
        <v>228</v>
      </c>
      <c r="O4" s="101" t="s">
        <v>229</v>
      </c>
      <c r="P4" s="101" t="s">
        <v>230</v>
      </c>
      <c r="Q4" s="101" t="s">
        <v>231</v>
      </c>
      <c r="R4" s="102" t="s">
        <v>232</v>
      </c>
      <c r="S4" s="101" t="s">
        <v>233</v>
      </c>
      <c r="T4" s="103" t="s">
        <v>234</v>
      </c>
      <c r="U4" s="104" t="s">
        <v>342</v>
      </c>
      <c r="V4" s="123" t="s">
        <v>352</v>
      </c>
      <c r="W4" s="130" t="s">
        <v>356</v>
      </c>
      <c r="X4" s="134"/>
      <c r="Y4" s="160">
        <v>45839</v>
      </c>
      <c r="Z4" s="168"/>
      <c r="AA4" s="78" t="s">
        <v>471</v>
      </c>
    </row>
    <row r="5" spans="1:27" ht="18" customHeight="1" x14ac:dyDescent="0.3">
      <c r="A5" s="85">
        <v>1</v>
      </c>
      <c r="B5" s="105" t="s">
        <v>2</v>
      </c>
      <c r="C5" s="105" t="s">
        <v>3</v>
      </c>
      <c r="D5" s="106">
        <v>40909</v>
      </c>
      <c r="E5" s="85"/>
      <c r="F5" s="90" t="s">
        <v>294</v>
      </c>
      <c r="G5" s="85" t="s">
        <v>295</v>
      </c>
      <c r="H5" s="124">
        <v>50</v>
      </c>
      <c r="I5" s="124">
        <v>50</v>
      </c>
      <c r="J5" s="127">
        <v>50</v>
      </c>
      <c r="K5" s="136">
        <v>50</v>
      </c>
      <c r="L5" s="136">
        <v>50</v>
      </c>
      <c r="M5" s="85">
        <v>50</v>
      </c>
      <c r="N5" s="85">
        <v>50</v>
      </c>
      <c r="O5" s="85"/>
      <c r="P5" s="85"/>
      <c r="Q5" s="85"/>
      <c r="R5" s="85"/>
      <c r="S5" s="85"/>
      <c r="T5" s="85">
        <f>SUM(H5:S5)</f>
        <v>350</v>
      </c>
      <c r="U5" s="73"/>
      <c r="W5" s="1">
        <v>50</v>
      </c>
      <c r="Y5" s="1">
        <v>100</v>
      </c>
      <c r="AA5" s="1">
        <v>100</v>
      </c>
    </row>
    <row r="6" spans="1:27" ht="18" customHeight="1" x14ac:dyDescent="0.3">
      <c r="A6" s="85">
        <v>1</v>
      </c>
      <c r="B6" s="105" t="s">
        <v>145</v>
      </c>
      <c r="C6" s="105" t="s">
        <v>4</v>
      </c>
      <c r="D6" s="106">
        <v>40777</v>
      </c>
      <c r="E6" s="107">
        <v>0.25</v>
      </c>
      <c r="F6" s="90" t="s">
        <v>146</v>
      </c>
      <c r="G6" s="85" t="s">
        <v>147</v>
      </c>
      <c r="H6" s="124">
        <v>50</v>
      </c>
      <c r="I6" s="124">
        <v>50</v>
      </c>
      <c r="J6" s="127">
        <v>50</v>
      </c>
      <c r="K6" s="127">
        <v>50</v>
      </c>
      <c r="L6" s="132">
        <v>50</v>
      </c>
      <c r="M6" s="140">
        <v>50</v>
      </c>
      <c r="N6" s="166">
        <v>50</v>
      </c>
      <c r="O6" s="166">
        <v>50</v>
      </c>
      <c r="P6" s="85"/>
      <c r="Q6" s="85"/>
      <c r="R6" s="85"/>
      <c r="S6" s="85"/>
      <c r="T6" s="85">
        <f t="shared" ref="T6:T33" si="0">SUM(H6:S6)</f>
        <v>400</v>
      </c>
      <c r="U6" s="73"/>
      <c r="W6" s="1">
        <v>100</v>
      </c>
      <c r="X6" s="1">
        <v>50</v>
      </c>
      <c r="Y6" s="1">
        <v>50</v>
      </c>
      <c r="Z6" s="1">
        <v>100</v>
      </c>
    </row>
    <row r="7" spans="1:27" ht="49.5" x14ac:dyDescent="0.3">
      <c r="A7" s="85">
        <v>1</v>
      </c>
      <c r="B7" s="105" t="s">
        <v>5</v>
      </c>
      <c r="C7" s="105" t="s">
        <v>6</v>
      </c>
      <c r="D7" s="106">
        <v>40591</v>
      </c>
      <c r="E7" s="85"/>
      <c r="F7" s="90" t="s">
        <v>477</v>
      </c>
      <c r="G7" s="90" t="s">
        <v>219</v>
      </c>
      <c r="H7" s="108"/>
      <c r="I7" s="108"/>
      <c r="J7" s="108"/>
      <c r="K7" s="108"/>
      <c r="L7" s="126">
        <v>50</v>
      </c>
      <c r="M7" s="126">
        <v>50</v>
      </c>
      <c r="N7" s="126">
        <v>50</v>
      </c>
      <c r="O7" s="126">
        <v>50</v>
      </c>
      <c r="P7" s="126">
        <v>50</v>
      </c>
      <c r="Q7" s="126">
        <v>50</v>
      </c>
      <c r="R7" s="85"/>
      <c r="S7" s="85"/>
      <c r="T7" s="85">
        <f t="shared" si="0"/>
        <v>300</v>
      </c>
      <c r="U7" s="73">
        <v>200</v>
      </c>
      <c r="W7" s="1">
        <v>300</v>
      </c>
    </row>
    <row r="8" spans="1:27" ht="18" customHeight="1" x14ac:dyDescent="0.3">
      <c r="A8" s="85">
        <v>1</v>
      </c>
      <c r="B8" s="105" t="s">
        <v>7</v>
      </c>
      <c r="C8" s="105" t="s">
        <v>8</v>
      </c>
      <c r="D8" s="106">
        <v>40766</v>
      </c>
      <c r="E8" s="85"/>
      <c r="F8" s="90" t="s">
        <v>139</v>
      </c>
      <c r="G8" s="85" t="s">
        <v>140</v>
      </c>
      <c r="H8" s="124">
        <v>50</v>
      </c>
      <c r="I8" s="124">
        <v>50</v>
      </c>
      <c r="J8" s="122">
        <v>50</v>
      </c>
      <c r="K8" s="122">
        <v>50</v>
      </c>
      <c r="L8" s="132">
        <v>50</v>
      </c>
      <c r="M8" s="132">
        <v>50</v>
      </c>
      <c r="N8" s="132">
        <v>50</v>
      </c>
      <c r="O8" s="166">
        <v>50</v>
      </c>
      <c r="P8" s="166">
        <v>50</v>
      </c>
      <c r="Q8" s="85">
        <v>50</v>
      </c>
      <c r="R8" s="85"/>
      <c r="S8" s="85"/>
      <c r="T8" s="85">
        <f t="shared" si="0"/>
        <v>500</v>
      </c>
      <c r="U8" s="73"/>
      <c r="V8" s="1">
        <v>100</v>
      </c>
      <c r="X8" s="1">
        <v>150</v>
      </c>
      <c r="Z8" s="1">
        <v>100</v>
      </c>
      <c r="AA8" s="1">
        <v>50</v>
      </c>
    </row>
    <row r="9" spans="1:27" ht="33" x14ac:dyDescent="0.3">
      <c r="A9" s="85">
        <v>1</v>
      </c>
      <c r="B9" s="109" t="s">
        <v>290</v>
      </c>
      <c r="C9" s="109" t="s">
        <v>291</v>
      </c>
      <c r="D9" s="110">
        <v>40528</v>
      </c>
      <c r="E9" s="85"/>
      <c r="F9" s="90" t="s">
        <v>292</v>
      </c>
      <c r="G9" s="85" t="s">
        <v>293</v>
      </c>
      <c r="H9" s="126">
        <v>50</v>
      </c>
      <c r="I9" s="126">
        <v>50</v>
      </c>
      <c r="J9" s="126">
        <v>50</v>
      </c>
      <c r="K9" s="85">
        <v>50</v>
      </c>
      <c r="L9" s="85">
        <v>50</v>
      </c>
      <c r="M9" s="85">
        <v>50</v>
      </c>
      <c r="N9" s="85">
        <v>50</v>
      </c>
      <c r="O9" s="85"/>
      <c r="P9" s="85"/>
      <c r="Q9" s="85"/>
      <c r="R9" s="85"/>
      <c r="S9" s="85"/>
      <c r="T9" s="85">
        <f t="shared" si="0"/>
        <v>350</v>
      </c>
      <c r="U9" s="73"/>
      <c r="W9" s="1">
        <v>150</v>
      </c>
      <c r="AA9" s="1">
        <v>200</v>
      </c>
    </row>
    <row r="10" spans="1:27" ht="18" customHeight="1" x14ac:dyDescent="0.3">
      <c r="A10" s="85">
        <v>1</v>
      </c>
      <c r="B10" s="105" t="s">
        <v>9</v>
      </c>
      <c r="C10" s="105" t="s">
        <v>10</v>
      </c>
      <c r="D10" s="106">
        <v>41068</v>
      </c>
      <c r="E10" s="107">
        <v>0.5</v>
      </c>
      <c r="F10" s="90" t="s">
        <v>148</v>
      </c>
      <c r="G10" s="85" t="s">
        <v>149</v>
      </c>
      <c r="H10" s="124">
        <v>50</v>
      </c>
      <c r="I10" s="124">
        <v>50</v>
      </c>
      <c r="J10" s="122">
        <v>50</v>
      </c>
      <c r="K10" s="122">
        <v>50</v>
      </c>
      <c r="L10" s="132">
        <v>50</v>
      </c>
      <c r="M10" s="136">
        <v>50</v>
      </c>
      <c r="N10" s="172">
        <v>50</v>
      </c>
      <c r="O10" s="172">
        <v>50</v>
      </c>
      <c r="P10" s="172">
        <v>50</v>
      </c>
      <c r="Q10" s="172">
        <v>50</v>
      </c>
      <c r="R10" s="85"/>
      <c r="S10" s="85"/>
      <c r="T10" s="85">
        <f t="shared" si="0"/>
        <v>500</v>
      </c>
      <c r="U10" s="73"/>
      <c r="V10" s="1">
        <v>100</v>
      </c>
      <c r="X10" s="1">
        <v>50</v>
      </c>
      <c r="Y10" s="1">
        <v>50</v>
      </c>
      <c r="Z10" s="1">
        <v>200</v>
      </c>
    </row>
    <row r="11" spans="1:27" ht="18" customHeight="1" x14ac:dyDescent="0.3">
      <c r="A11" s="85">
        <v>1</v>
      </c>
      <c r="B11" s="109" t="s">
        <v>36</v>
      </c>
      <c r="C11" s="109" t="s">
        <v>37</v>
      </c>
      <c r="D11" s="110">
        <v>40791</v>
      </c>
      <c r="E11" s="85"/>
      <c r="F11" s="90" t="s">
        <v>192</v>
      </c>
      <c r="G11" s="85" t="s">
        <v>193</v>
      </c>
      <c r="H11" s="122">
        <v>50</v>
      </c>
      <c r="I11" s="122">
        <v>50</v>
      </c>
      <c r="J11" s="126">
        <v>50</v>
      </c>
      <c r="K11" s="132">
        <v>50</v>
      </c>
      <c r="L11" s="132">
        <v>50</v>
      </c>
      <c r="M11" s="140">
        <v>50</v>
      </c>
      <c r="N11" s="85">
        <v>50</v>
      </c>
      <c r="O11" s="85">
        <v>50</v>
      </c>
      <c r="P11" s="85"/>
      <c r="Q11" s="85"/>
      <c r="R11" s="85"/>
      <c r="S11" s="85"/>
      <c r="T11" s="85">
        <f t="shared" si="0"/>
        <v>400</v>
      </c>
      <c r="U11" s="73"/>
      <c r="V11" s="1">
        <v>100</v>
      </c>
      <c r="W11" s="1">
        <v>50</v>
      </c>
      <c r="X11" s="1">
        <v>100</v>
      </c>
      <c r="Y11" s="1">
        <v>50</v>
      </c>
      <c r="AA11" s="1">
        <v>100</v>
      </c>
    </row>
    <row r="12" spans="1:27" ht="18" customHeight="1" x14ac:dyDescent="0.3">
      <c r="A12" s="85">
        <v>1</v>
      </c>
      <c r="B12" s="105" t="s">
        <v>11</v>
      </c>
      <c r="C12" s="105" t="s">
        <v>12</v>
      </c>
      <c r="D12" s="106">
        <v>41048</v>
      </c>
      <c r="E12" s="85"/>
      <c r="F12" s="90" t="s">
        <v>143</v>
      </c>
      <c r="G12" s="85" t="s">
        <v>144</v>
      </c>
      <c r="H12" s="124">
        <v>50</v>
      </c>
      <c r="I12" s="122">
        <v>50</v>
      </c>
      <c r="J12" s="122">
        <v>50</v>
      </c>
      <c r="K12" s="127">
        <v>50</v>
      </c>
      <c r="L12" s="132">
        <v>50</v>
      </c>
      <c r="M12" s="139">
        <v>50</v>
      </c>
      <c r="N12" s="166">
        <v>50</v>
      </c>
      <c r="O12" s="85">
        <v>50</v>
      </c>
      <c r="P12" s="85"/>
      <c r="Q12" s="85"/>
      <c r="R12" s="85"/>
      <c r="S12" s="85"/>
      <c r="T12" s="85">
        <f t="shared" si="0"/>
        <v>400</v>
      </c>
      <c r="U12" s="73"/>
      <c r="V12" s="1">
        <f>H11+I11</f>
        <v>100</v>
      </c>
      <c r="W12" s="1">
        <v>50</v>
      </c>
      <c r="X12" s="1">
        <v>50</v>
      </c>
      <c r="Y12" s="1">
        <v>50</v>
      </c>
      <c r="Z12" s="1">
        <v>50</v>
      </c>
      <c r="AA12" s="1">
        <v>50</v>
      </c>
    </row>
    <row r="13" spans="1:27" ht="18" customHeight="1" x14ac:dyDescent="0.3">
      <c r="A13" s="85">
        <v>1</v>
      </c>
      <c r="B13" s="105" t="s">
        <v>13</v>
      </c>
      <c r="C13" s="105" t="s">
        <v>14</v>
      </c>
      <c r="D13" s="106">
        <v>41145</v>
      </c>
      <c r="E13" s="85"/>
      <c r="F13" s="90" t="s">
        <v>101</v>
      </c>
      <c r="G13" s="85" t="s">
        <v>125</v>
      </c>
      <c r="H13" s="108"/>
      <c r="I13" s="108"/>
      <c r="J13" s="124">
        <v>50</v>
      </c>
      <c r="K13" s="124">
        <v>50</v>
      </c>
      <c r="L13" s="122">
        <v>50</v>
      </c>
      <c r="M13" s="122">
        <v>50</v>
      </c>
      <c r="N13" s="126">
        <v>50</v>
      </c>
      <c r="O13" s="126">
        <v>50</v>
      </c>
      <c r="P13" s="166">
        <v>50</v>
      </c>
      <c r="Q13" s="166">
        <v>50</v>
      </c>
      <c r="R13" s="85"/>
      <c r="S13" s="85"/>
      <c r="T13" s="85">
        <f t="shared" si="0"/>
        <v>400</v>
      </c>
      <c r="U13" s="73">
        <v>100</v>
      </c>
      <c r="V13" s="1">
        <v>100</v>
      </c>
      <c r="W13" s="1">
        <v>100</v>
      </c>
      <c r="Z13" s="1">
        <v>100</v>
      </c>
    </row>
    <row r="14" spans="1:27" ht="18" customHeight="1" x14ac:dyDescent="0.3">
      <c r="A14" s="85">
        <v>1</v>
      </c>
      <c r="B14" s="105" t="s">
        <v>271</v>
      </c>
      <c r="C14" s="105" t="s">
        <v>136</v>
      </c>
      <c r="D14" s="106">
        <v>40624</v>
      </c>
      <c r="E14" s="85"/>
      <c r="F14" s="90" t="s">
        <v>137</v>
      </c>
      <c r="G14" s="85" t="s">
        <v>138</v>
      </c>
      <c r="H14" s="124">
        <v>50</v>
      </c>
      <c r="I14" s="122">
        <v>50</v>
      </c>
      <c r="J14" s="122">
        <v>50</v>
      </c>
      <c r="K14" s="126">
        <v>50</v>
      </c>
      <c r="L14" s="132">
        <v>50</v>
      </c>
      <c r="M14" s="139">
        <v>50</v>
      </c>
      <c r="N14" s="166">
        <v>50</v>
      </c>
      <c r="O14" s="85">
        <v>50</v>
      </c>
      <c r="P14" s="85"/>
      <c r="Q14" s="85"/>
      <c r="R14" s="85"/>
      <c r="S14" s="85"/>
      <c r="T14" s="85">
        <f t="shared" si="0"/>
        <v>400</v>
      </c>
      <c r="U14" s="73"/>
      <c r="V14" s="1">
        <v>100</v>
      </c>
      <c r="W14" s="1">
        <v>50</v>
      </c>
      <c r="X14" s="1">
        <v>50</v>
      </c>
      <c r="Y14" s="1">
        <v>50</v>
      </c>
      <c r="Z14" s="1">
        <v>50</v>
      </c>
      <c r="AA14" s="1">
        <v>50</v>
      </c>
    </row>
    <row r="15" spans="1:27" ht="18" customHeight="1" x14ac:dyDescent="0.3">
      <c r="A15" s="85">
        <v>1</v>
      </c>
      <c r="B15" s="109" t="s">
        <v>15</v>
      </c>
      <c r="C15" s="109" t="s">
        <v>246</v>
      </c>
      <c r="D15" s="106">
        <v>40845</v>
      </c>
      <c r="E15" s="85"/>
      <c r="F15" s="90" t="s">
        <v>160</v>
      </c>
      <c r="G15" s="85" t="s">
        <v>161</v>
      </c>
      <c r="H15" s="126">
        <v>50</v>
      </c>
      <c r="I15" s="126">
        <v>50</v>
      </c>
      <c r="J15" s="126">
        <v>50</v>
      </c>
      <c r="K15" s="126">
        <v>50</v>
      </c>
      <c r="L15" s="132">
        <v>50</v>
      </c>
      <c r="M15" s="139">
        <v>50</v>
      </c>
      <c r="N15" s="166">
        <v>50</v>
      </c>
      <c r="O15" s="85">
        <v>50</v>
      </c>
      <c r="P15" s="85"/>
      <c r="Q15" s="85"/>
      <c r="R15" s="85"/>
      <c r="S15" s="85"/>
      <c r="T15" s="85">
        <f t="shared" si="0"/>
        <v>400</v>
      </c>
      <c r="U15" s="73"/>
      <c r="W15" s="1">
        <v>200</v>
      </c>
      <c r="X15" s="1">
        <v>50</v>
      </c>
      <c r="Y15" s="1">
        <v>50</v>
      </c>
      <c r="Z15" s="1">
        <v>50</v>
      </c>
      <c r="AA15" s="1">
        <v>50</v>
      </c>
    </row>
    <row r="16" spans="1:27" s="67" customFormat="1" ht="18" customHeight="1" x14ac:dyDescent="0.3">
      <c r="A16" s="68">
        <v>1</v>
      </c>
      <c r="B16" s="109" t="s">
        <v>105</v>
      </c>
      <c r="C16" s="109" t="s">
        <v>38</v>
      </c>
      <c r="D16" s="110">
        <v>39800</v>
      </c>
      <c r="E16" s="85"/>
      <c r="F16" s="90" t="s">
        <v>106</v>
      </c>
      <c r="G16" s="85" t="s">
        <v>123</v>
      </c>
      <c r="H16" s="124">
        <v>50</v>
      </c>
      <c r="I16" s="124">
        <v>50</v>
      </c>
      <c r="J16" s="122">
        <v>50</v>
      </c>
      <c r="K16" s="122">
        <v>50</v>
      </c>
      <c r="L16" s="122">
        <v>50</v>
      </c>
      <c r="M16" s="122">
        <v>50</v>
      </c>
      <c r="N16" s="122">
        <v>50</v>
      </c>
      <c r="O16" s="122">
        <v>50</v>
      </c>
      <c r="P16" s="122">
        <v>50</v>
      </c>
      <c r="Q16" s="122">
        <v>50</v>
      </c>
      <c r="R16" s="85"/>
      <c r="S16" s="85"/>
      <c r="T16" s="85">
        <f t="shared" si="0"/>
        <v>500</v>
      </c>
      <c r="U16" s="73"/>
      <c r="V16" s="67">
        <v>400</v>
      </c>
    </row>
    <row r="17" spans="1:27" ht="33" x14ac:dyDescent="0.3">
      <c r="A17" s="85">
        <v>1</v>
      </c>
      <c r="B17" s="105" t="s">
        <v>16</v>
      </c>
      <c r="C17" s="105" t="s">
        <v>17</v>
      </c>
      <c r="D17" s="106">
        <v>40451</v>
      </c>
      <c r="E17" s="85">
        <v>50</v>
      </c>
      <c r="F17" s="90" t="s">
        <v>141</v>
      </c>
      <c r="G17" s="85" t="s">
        <v>142</v>
      </c>
      <c r="H17" s="140">
        <v>50</v>
      </c>
      <c r="I17" s="140">
        <v>50</v>
      </c>
      <c r="J17" s="140">
        <v>50</v>
      </c>
      <c r="K17" s="140">
        <v>50</v>
      </c>
      <c r="L17" s="140">
        <v>50</v>
      </c>
      <c r="M17" s="140">
        <v>50</v>
      </c>
      <c r="N17" s="85"/>
      <c r="O17" s="85"/>
      <c r="P17" s="85"/>
      <c r="Q17" s="85"/>
      <c r="R17" s="85"/>
      <c r="S17" s="85"/>
      <c r="T17" s="85">
        <f t="shared" si="0"/>
        <v>300</v>
      </c>
      <c r="U17" s="73"/>
      <c r="Y17" s="1">
        <v>300</v>
      </c>
    </row>
    <row r="18" spans="1:27" ht="36" customHeight="1" x14ac:dyDescent="0.3">
      <c r="A18" s="85">
        <v>1</v>
      </c>
      <c r="B18" s="105" t="s">
        <v>18</v>
      </c>
      <c r="C18" s="105" t="s">
        <v>19</v>
      </c>
      <c r="D18" s="106">
        <v>41011</v>
      </c>
      <c r="E18" s="85"/>
      <c r="F18" s="90" t="s">
        <v>165</v>
      </c>
      <c r="G18" s="85" t="s">
        <v>166</v>
      </c>
      <c r="H18" s="108"/>
      <c r="I18" s="124">
        <v>50</v>
      </c>
      <c r="J18" s="122">
        <v>50</v>
      </c>
      <c r="K18" s="122">
        <v>50</v>
      </c>
      <c r="L18" s="136">
        <v>50</v>
      </c>
      <c r="M18" s="136">
        <v>50</v>
      </c>
      <c r="N18" s="172">
        <v>50</v>
      </c>
      <c r="O18" s="172">
        <v>50</v>
      </c>
      <c r="P18" s="85"/>
      <c r="Q18" s="85"/>
      <c r="R18" s="85"/>
      <c r="S18" s="85"/>
      <c r="T18" s="85">
        <f t="shared" si="0"/>
        <v>350</v>
      </c>
      <c r="U18" s="73">
        <v>50</v>
      </c>
      <c r="V18" s="1">
        <v>100</v>
      </c>
      <c r="Y18" s="1">
        <v>100</v>
      </c>
      <c r="Z18" s="1">
        <v>100</v>
      </c>
    </row>
    <row r="19" spans="1:27" ht="18" customHeight="1" x14ac:dyDescent="0.3">
      <c r="A19" s="85">
        <v>1</v>
      </c>
      <c r="B19" s="66" t="s">
        <v>20</v>
      </c>
      <c r="C19" s="66" t="s">
        <v>21</v>
      </c>
      <c r="D19" s="79">
        <v>40763</v>
      </c>
      <c r="E19" s="68">
        <v>50</v>
      </c>
      <c r="F19" s="93" t="s">
        <v>250</v>
      </c>
      <c r="G19" s="68" t="s">
        <v>251</v>
      </c>
      <c r="H19" s="124">
        <v>50</v>
      </c>
      <c r="I19" s="122">
        <v>50</v>
      </c>
      <c r="J19" s="122">
        <v>50</v>
      </c>
      <c r="K19" s="132">
        <v>50</v>
      </c>
      <c r="L19" s="132">
        <v>50</v>
      </c>
      <c r="M19" s="68"/>
      <c r="N19" s="68"/>
      <c r="O19" s="68"/>
      <c r="P19" s="68"/>
      <c r="Q19" s="68"/>
      <c r="R19" s="68"/>
      <c r="S19" s="68"/>
      <c r="T19" s="85">
        <f t="shared" si="0"/>
        <v>250</v>
      </c>
      <c r="U19" s="72"/>
      <c r="V19" s="1">
        <v>100</v>
      </c>
      <c r="X19" s="1">
        <v>100</v>
      </c>
    </row>
    <row r="20" spans="1:27" ht="18" customHeight="1" x14ac:dyDescent="0.3">
      <c r="A20" s="85">
        <v>1</v>
      </c>
      <c r="B20" s="105" t="s">
        <v>22</v>
      </c>
      <c r="C20" s="105" t="s">
        <v>23</v>
      </c>
      <c r="D20" s="106">
        <v>41591</v>
      </c>
      <c r="E20" s="85"/>
      <c r="F20" s="90" t="s">
        <v>340</v>
      </c>
      <c r="G20" s="85" t="s">
        <v>341</v>
      </c>
      <c r="H20" s="124">
        <v>50</v>
      </c>
      <c r="I20" s="124">
        <v>50</v>
      </c>
      <c r="J20" s="122">
        <v>50</v>
      </c>
      <c r="K20" s="132">
        <v>50</v>
      </c>
      <c r="L20" s="132">
        <v>50</v>
      </c>
      <c r="M20" s="166">
        <v>50</v>
      </c>
      <c r="N20" s="166">
        <v>50</v>
      </c>
      <c r="O20" s="85">
        <v>50</v>
      </c>
      <c r="P20" s="85">
        <v>50</v>
      </c>
      <c r="Q20" s="85"/>
      <c r="R20" s="85"/>
      <c r="S20" s="85"/>
      <c r="T20" s="85">
        <f t="shared" si="0"/>
        <v>450</v>
      </c>
      <c r="U20" s="73"/>
      <c r="V20" s="1">
        <v>50</v>
      </c>
      <c r="X20" s="1">
        <v>100</v>
      </c>
      <c r="Z20" s="1">
        <v>100</v>
      </c>
      <c r="AA20" s="1">
        <v>100</v>
      </c>
    </row>
    <row r="21" spans="1:27" ht="18" customHeight="1" x14ac:dyDescent="0.3">
      <c r="A21" s="85">
        <v>1</v>
      </c>
      <c r="B21" s="109" t="s">
        <v>283</v>
      </c>
      <c r="C21" s="109" t="s">
        <v>284</v>
      </c>
      <c r="D21" s="110">
        <v>40881</v>
      </c>
      <c r="E21" s="85"/>
      <c r="F21" s="90" t="s">
        <v>285</v>
      </c>
      <c r="G21" s="85" t="s">
        <v>286</v>
      </c>
      <c r="H21" s="124">
        <v>50</v>
      </c>
      <c r="I21" s="124">
        <v>50</v>
      </c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>
        <f t="shared" si="0"/>
        <v>100</v>
      </c>
      <c r="U21" s="73"/>
    </row>
    <row r="22" spans="1:27" ht="18" customHeight="1" x14ac:dyDescent="0.3">
      <c r="A22" s="85">
        <v>1</v>
      </c>
      <c r="B22" s="105" t="s">
        <v>117</v>
      </c>
      <c r="C22" s="105" t="s">
        <v>24</v>
      </c>
      <c r="D22" s="106">
        <v>41018</v>
      </c>
      <c r="E22" s="85"/>
      <c r="F22" s="90" t="s">
        <v>118</v>
      </c>
      <c r="G22" s="85" t="s">
        <v>119</v>
      </c>
      <c r="H22" s="124">
        <v>50</v>
      </c>
      <c r="I22" s="124">
        <v>50</v>
      </c>
      <c r="J22" s="124">
        <v>50</v>
      </c>
      <c r="K22" s="122">
        <v>50</v>
      </c>
      <c r="L22" s="122">
        <v>50</v>
      </c>
      <c r="M22" s="122">
        <v>50</v>
      </c>
      <c r="N22" s="166">
        <v>50</v>
      </c>
      <c r="O22" s="166">
        <v>50</v>
      </c>
      <c r="P22" s="166">
        <v>50</v>
      </c>
      <c r="Q22" s="166">
        <v>50</v>
      </c>
      <c r="R22" s="85"/>
      <c r="S22" s="85"/>
      <c r="T22" s="85">
        <f t="shared" si="0"/>
        <v>500</v>
      </c>
      <c r="U22" s="73"/>
      <c r="V22" s="1">
        <v>150</v>
      </c>
      <c r="Z22" s="1">
        <v>200</v>
      </c>
    </row>
    <row r="23" spans="1:27" ht="18" customHeight="1" x14ac:dyDescent="0.3">
      <c r="A23" s="85">
        <v>1</v>
      </c>
      <c r="B23" s="105" t="s">
        <v>25</v>
      </c>
      <c r="C23" s="105" t="s">
        <v>26</v>
      </c>
      <c r="D23" s="106">
        <v>40784</v>
      </c>
      <c r="E23" s="85"/>
      <c r="F23" s="90" t="s">
        <v>269</v>
      </c>
      <c r="G23" s="85" t="s">
        <v>270</v>
      </c>
      <c r="H23" s="124">
        <v>50</v>
      </c>
      <c r="I23" s="124">
        <v>50</v>
      </c>
      <c r="J23" s="122">
        <v>50</v>
      </c>
      <c r="K23" s="132">
        <v>50</v>
      </c>
      <c r="L23" s="85">
        <v>50</v>
      </c>
      <c r="M23" s="85">
        <v>50</v>
      </c>
      <c r="N23" s="85">
        <v>50</v>
      </c>
      <c r="O23" s="85">
        <v>50</v>
      </c>
      <c r="P23" s="85"/>
      <c r="Q23" s="85"/>
      <c r="R23" s="85"/>
      <c r="S23" s="85"/>
      <c r="T23" s="85">
        <f t="shared" si="0"/>
        <v>400</v>
      </c>
      <c r="U23" s="73"/>
      <c r="V23" s="1">
        <v>50</v>
      </c>
      <c r="X23" s="1">
        <v>50</v>
      </c>
      <c r="AA23" s="1">
        <v>200</v>
      </c>
    </row>
    <row r="24" spans="1:27" ht="18" hidden="1" customHeight="1" x14ac:dyDescent="0.3">
      <c r="A24" s="85"/>
      <c r="B24" s="105" t="s">
        <v>27</v>
      </c>
      <c r="C24" s="105" t="s">
        <v>247</v>
      </c>
      <c r="D24" s="106">
        <v>40595</v>
      </c>
      <c r="E24" s="107">
        <v>0.5</v>
      </c>
      <c r="F24" s="90" t="s">
        <v>115</v>
      </c>
      <c r="G24" s="85">
        <v>36921603</v>
      </c>
      <c r="H24" s="124">
        <v>50</v>
      </c>
      <c r="I24" s="68"/>
      <c r="J24" s="127">
        <v>50</v>
      </c>
      <c r="K24" s="127">
        <v>50</v>
      </c>
      <c r="L24" s="85"/>
      <c r="M24" s="85"/>
      <c r="N24" s="85"/>
      <c r="O24" s="85"/>
      <c r="P24" s="85"/>
      <c r="Q24" s="85"/>
      <c r="R24" s="85"/>
      <c r="S24" s="85"/>
      <c r="T24" s="85">
        <f t="shared" si="0"/>
        <v>150</v>
      </c>
      <c r="U24" s="73"/>
      <c r="W24" s="1">
        <v>100</v>
      </c>
    </row>
    <row r="25" spans="1:27" ht="18" customHeight="1" x14ac:dyDescent="0.3">
      <c r="A25" s="85">
        <v>1</v>
      </c>
      <c r="B25" s="109" t="s">
        <v>35</v>
      </c>
      <c r="C25" s="109" t="s">
        <v>248</v>
      </c>
      <c r="D25" s="110">
        <v>40661</v>
      </c>
      <c r="E25" s="85"/>
      <c r="F25" s="90" t="s">
        <v>162</v>
      </c>
      <c r="G25" s="85">
        <v>58335953</v>
      </c>
      <c r="H25" s="124">
        <v>50</v>
      </c>
      <c r="I25" s="122">
        <v>50</v>
      </c>
      <c r="J25" s="122">
        <v>50</v>
      </c>
      <c r="K25" s="139">
        <v>50</v>
      </c>
      <c r="L25" s="139">
        <v>50</v>
      </c>
      <c r="M25" s="139">
        <v>50</v>
      </c>
      <c r="N25" s="85"/>
      <c r="O25" s="85"/>
      <c r="P25" s="85"/>
      <c r="Q25" s="85"/>
      <c r="R25" s="85"/>
      <c r="S25" s="85"/>
      <c r="T25" s="85">
        <f t="shared" si="0"/>
        <v>300</v>
      </c>
      <c r="U25" s="73"/>
      <c r="V25" s="1">
        <v>100</v>
      </c>
      <c r="Y25" s="1">
        <v>150</v>
      </c>
    </row>
    <row r="26" spans="1:27" ht="18" customHeight="1" x14ac:dyDescent="0.3">
      <c r="A26" s="85">
        <v>1</v>
      </c>
      <c r="B26" s="105" t="s">
        <v>28</v>
      </c>
      <c r="C26" s="105" t="s">
        <v>102</v>
      </c>
      <c r="D26" s="110">
        <v>40992</v>
      </c>
      <c r="E26" s="85"/>
      <c r="F26" s="90" t="s">
        <v>103</v>
      </c>
      <c r="G26" s="85" t="s">
        <v>124</v>
      </c>
      <c r="H26" s="122">
        <v>50</v>
      </c>
      <c r="I26" s="122">
        <v>50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>
        <f t="shared" si="0"/>
        <v>100</v>
      </c>
      <c r="U26" s="73"/>
      <c r="V26" s="1">
        <v>100</v>
      </c>
    </row>
    <row r="27" spans="1:27" ht="18" customHeight="1" x14ac:dyDescent="0.3">
      <c r="A27" s="85">
        <v>1</v>
      </c>
      <c r="B27" s="105" t="s">
        <v>29</v>
      </c>
      <c r="C27" s="105" t="s">
        <v>30</v>
      </c>
      <c r="D27" s="110">
        <v>40645</v>
      </c>
      <c r="E27" s="85"/>
      <c r="F27" s="90"/>
      <c r="G27" s="85"/>
      <c r="H27" s="124">
        <v>50</v>
      </c>
      <c r="I27" s="124">
        <v>50</v>
      </c>
      <c r="J27" s="122">
        <v>50</v>
      </c>
      <c r="K27" s="126">
        <v>50</v>
      </c>
      <c r="L27" s="140">
        <v>50</v>
      </c>
      <c r="M27" s="140">
        <v>50</v>
      </c>
      <c r="N27" s="166">
        <v>50</v>
      </c>
      <c r="O27" s="85">
        <v>50</v>
      </c>
      <c r="P27" s="85"/>
      <c r="Q27" s="85"/>
      <c r="R27" s="85"/>
      <c r="S27" s="85"/>
      <c r="T27" s="85">
        <f t="shared" si="0"/>
        <v>400</v>
      </c>
      <c r="U27" s="73"/>
      <c r="V27" s="1">
        <v>50</v>
      </c>
      <c r="W27" s="1">
        <v>50</v>
      </c>
      <c r="Y27" s="1">
        <v>100</v>
      </c>
      <c r="Z27" s="1">
        <v>50</v>
      </c>
      <c r="AA27" s="1">
        <v>50</v>
      </c>
    </row>
    <row r="28" spans="1:27" ht="18" customHeight="1" x14ac:dyDescent="0.3">
      <c r="A28" s="85">
        <v>1</v>
      </c>
      <c r="B28" s="109" t="s">
        <v>31</v>
      </c>
      <c r="C28" s="109" t="s">
        <v>32</v>
      </c>
      <c r="D28" s="110">
        <v>40934</v>
      </c>
      <c r="E28" s="85"/>
      <c r="F28" s="90" t="s">
        <v>121</v>
      </c>
      <c r="G28" s="85" t="s">
        <v>122</v>
      </c>
      <c r="H28" s="108"/>
      <c r="I28" s="124">
        <v>50</v>
      </c>
      <c r="J28" s="127">
        <v>50</v>
      </c>
      <c r="K28" s="127">
        <v>50</v>
      </c>
      <c r="L28" s="132">
        <v>50</v>
      </c>
      <c r="M28" s="132">
        <v>50</v>
      </c>
      <c r="N28" s="166">
        <v>50</v>
      </c>
      <c r="O28" s="166">
        <v>50</v>
      </c>
      <c r="P28" s="85"/>
      <c r="Q28" s="85"/>
      <c r="R28" s="85"/>
      <c r="S28" s="85"/>
      <c r="T28" s="85">
        <f t="shared" si="0"/>
        <v>350</v>
      </c>
      <c r="U28" s="73">
        <v>50</v>
      </c>
      <c r="W28" s="1">
        <v>100</v>
      </c>
      <c r="X28" s="1">
        <v>100</v>
      </c>
      <c r="Z28" s="1">
        <v>100</v>
      </c>
    </row>
    <row r="29" spans="1:27" ht="18" customHeight="1" x14ac:dyDescent="0.3">
      <c r="A29" s="85">
        <v>1</v>
      </c>
      <c r="B29" s="109" t="s">
        <v>277</v>
      </c>
      <c r="C29" s="109" t="s">
        <v>278</v>
      </c>
      <c r="D29" s="110">
        <v>41491</v>
      </c>
      <c r="E29" s="85"/>
      <c r="F29" s="90" t="s">
        <v>275</v>
      </c>
      <c r="G29" s="85" t="s">
        <v>276</v>
      </c>
      <c r="H29" s="108"/>
      <c r="I29" s="124">
        <v>50</v>
      </c>
      <c r="J29" s="122">
        <v>50</v>
      </c>
      <c r="K29" s="126">
        <v>50</v>
      </c>
      <c r="L29" s="132">
        <v>50</v>
      </c>
      <c r="M29" s="140">
        <v>50</v>
      </c>
      <c r="N29" s="166">
        <v>50</v>
      </c>
      <c r="O29" s="85">
        <v>50</v>
      </c>
      <c r="P29" s="85"/>
      <c r="Q29" s="85"/>
      <c r="R29" s="85"/>
      <c r="S29" s="85"/>
      <c r="T29" s="85">
        <f t="shared" si="0"/>
        <v>350</v>
      </c>
      <c r="U29" s="73">
        <v>50</v>
      </c>
      <c r="V29" s="1">
        <v>50</v>
      </c>
      <c r="W29" s="1">
        <v>50</v>
      </c>
      <c r="X29" s="1">
        <v>50</v>
      </c>
      <c r="Y29" s="1">
        <v>50</v>
      </c>
      <c r="Z29" s="1">
        <v>50</v>
      </c>
      <c r="AA29" s="1">
        <v>50</v>
      </c>
    </row>
    <row r="30" spans="1:27" ht="18" customHeight="1" x14ac:dyDescent="0.3">
      <c r="A30" s="85">
        <v>1</v>
      </c>
      <c r="B30" s="105" t="s">
        <v>33</v>
      </c>
      <c r="C30" s="105" t="s">
        <v>34</v>
      </c>
      <c r="D30" s="110">
        <v>40888</v>
      </c>
      <c r="E30" s="85"/>
      <c r="F30" s="90" t="s">
        <v>302</v>
      </c>
      <c r="G30" s="85" t="s">
        <v>303</v>
      </c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85"/>
      <c r="S30" s="85"/>
      <c r="T30" s="85">
        <f t="shared" si="0"/>
        <v>0</v>
      </c>
      <c r="U30" s="73">
        <v>500</v>
      </c>
    </row>
    <row r="31" spans="1:27" ht="18" customHeight="1" x14ac:dyDescent="0.3">
      <c r="A31" s="85">
        <v>1</v>
      </c>
      <c r="B31" s="109" t="s">
        <v>128</v>
      </c>
      <c r="C31" s="109" t="s">
        <v>129</v>
      </c>
      <c r="D31" s="110">
        <v>40665</v>
      </c>
      <c r="E31" s="107">
        <v>0.5</v>
      </c>
      <c r="F31" s="90" t="s">
        <v>130</v>
      </c>
      <c r="G31" s="85">
        <v>36921477</v>
      </c>
      <c r="H31" s="126">
        <v>50</v>
      </c>
      <c r="I31" s="126">
        <v>50</v>
      </c>
      <c r="J31" s="172">
        <v>50</v>
      </c>
      <c r="K31" s="172">
        <v>50</v>
      </c>
      <c r="L31" s="172">
        <v>50</v>
      </c>
      <c r="M31" s="172">
        <v>50</v>
      </c>
      <c r="N31" s="172">
        <v>50</v>
      </c>
      <c r="O31" s="85">
        <v>50</v>
      </c>
      <c r="P31" s="85"/>
      <c r="Q31" s="85"/>
      <c r="R31" s="85"/>
      <c r="S31" s="85"/>
      <c r="T31" s="85">
        <f t="shared" si="0"/>
        <v>400</v>
      </c>
      <c r="U31" s="73"/>
      <c r="W31" s="1">
        <v>100</v>
      </c>
      <c r="Z31" s="1">
        <v>250</v>
      </c>
      <c r="AA31" s="1">
        <v>50</v>
      </c>
    </row>
    <row r="32" spans="1:27" ht="18" customHeight="1" x14ac:dyDescent="0.3">
      <c r="A32" s="85">
        <v>1</v>
      </c>
      <c r="B32" s="109" t="s">
        <v>359</v>
      </c>
      <c r="C32" s="109" t="s">
        <v>360</v>
      </c>
      <c r="D32" s="110"/>
      <c r="E32" s="107"/>
      <c r="F32" s="90"/>
      <c r="G32" s="85"/>
      <c r="H32" s="68"/>
      <c r="I32" s="68"/>
      <c r="J32" s="85"/>
      <c r="K32" s="85"/>
      <c r="L32" s="139">
        <v>50</v>
      </c>
      <c r="M32" s="139">
        <v>50</v>
      </c>
      <c r="N32" s="85">
        <v>50</v>
      </c>
      <c r="O32" s="85"/>
      <c r="P32" s="85"/>
      <c r="Q32" s="85"/>
      <c r="R32" s="85"/>
      <c r="S32" s="85"/>
      <c r="T32" s="85"/>
      <c r="U32" s="73"/>
      <c r="Y32" s="1">
        <v>100</v>
      </c>
      <c r="AA32" s="1">
        <v>50</v>
      </c>
    </row>
    <row r="33" spans="1:27" s="29" customFormat="1" ht="18" customHeight="1" x14ac:dyDescent="0.2">
      <c r="A33" s="96">
        <f>SUM(A5:A32)</f>
        <v>27</v>
      </c>
      <c r="B33" s="96"/>
      <c r="C33" s="96"/>
      <c r="D33" s="96"/>
      <c r="E33" s="96"/>
      <c r="F33" s="97"/>
      <c r="G33" s="96"/>
      <c r="H33" s="96">
        <f>SUM(H5:H31)</f>
        <v>1050</v>
      </c>
      <c r="I33" s="96">
        <f t="shared" ref="I33:S33" si="1">SUM(I5:I31)</f>
        <v>1150</v>
      </c>
      <c r="J33" s="96">
        <f t="shared" si="1"/>
        <v>1150</v>
      </c>
      <c r="K33" s="96">
        <f t="shared" si="1"/>
        <v>1150</v>
      </c>
      <c r="L33" s="96">
        <f t="shared" si="1"/>
        <v>1150</v>
      </c>
      <c r="M33" s="96">
        <f t="shared" si="1"/>
        <v>1100</v>
      </c>
      <c r="N33" s="96">
        <f>SUM(N5:N32)</f>
        <v>1050</v>
      </c>
      <c r="O33" s="96">
        <f t="shared" si="1"/>
        <v>900</v>
      </c>
      <c r="P33" s="96">
        <f t="shared" si="1"/>
        <v>350</v>
      </c>
      <c r="Q33" s="96">
        <f t="shared" si="1"/>
        <v>300</v>
      </c>
      <c r="R33" s="96">
        <f t="shared" si="1"/>
        <v>0</v>
      </c>
      <c r="S33" s="96">
        <f t="shared" si="1"/>
        <v>0</v>
      </c>
      <c r="T33" s="96">
        <f t="shared" si="0"/>
        <v>9350</v>
      </c>
      <c r="U33" s="74">
        <f>SUM(U5:U31)</f>
        <v>950</v>
      </c>
      <c r="V33" s="29">
        <f>SUM(V5:V31)</f>
        <v>1750</v>
      </c>
      <c r="W33" s="29">
        <f>SUM(W5:W31)</f>
        <v>1450</v>
      </c>
      <c r="X33" s="29">
        <f>SUM(X5:X31)</f>
        <v>900</v>
      </c>
      <c r="Y33" s="29">
        <f>SUM(Y5:Y32)</f>
        <v>1200</v>
      </c>
      <c r="Z33" s="29">
        <f>SUM(Z5:Z32)</f>
        <v>1500</v>
      </c>
      <c r="AA33" s="29">
        <f>SUM(AA5:AA32)</f>
        <v>1100</v>
      </c>
    </row>
    <row r="34" spans="1:27" x14ac:dyDescent="0.3">
      <c r="A34" s="98"/>
      <c r="B34" s="73"/>
      <c r="C34" s="73"/>
      <c r="D34" s="98"/>
      <c r="E34" s="73"/>
      <c r="F34" s="99"/>
      <c r="G34" s="98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</row>
    <row r="36" spans="1:27" x14ac:dyDescent="0.3">
      <c r="B36" s="67"/>
    </row>
    <row r="37" spans="1:27" x14ac:dyDescent="0.3">
      <c r="B37" s="67"/>
    </row>
  </sheetData>
  <sortState xmlns:xlrd2="http://schemas.microsoft.com/office/spreadsheetml/2017/richdata2" ref="B5:U33">
    <sortCondition ref="B5:B33"/>
  </sortState>
  <mergeCells count="1">
    <mergeCell ref="H3:S3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AB7D-EEA9-4703-AEC4-3A0DEA239B4C}">
  <dimension ref="A2:AA34"/>
  <sheetViews>
    <sheetView zoomScale="55" zoomScaleNormal="55" workbookViewId="0">
      <pane ySplit="4" topLeftCell="A5" activePane="bottomLeft" state="frozen"/>
      <selection pane="bottomLeft" activeCell="D26" sqref="D26"/>
    </sheetView>
  </sheetViews>
  <sheetFormatPr baseColWidth="10" defaultColWidth="11.5703125" defaultRowHeight="16.5" x14ac:dyDescent="0.3"/>
  <cols>
    <col min="1" max="1" width="5.5703125" style="2" customWidth="1"/>
    <col min="2" max="3" width="23.85546875" style="1" customWidth="1"/>
    <col min="4" max="4" width="15.28515625" style="2" customWidth="1"/>
    <col min="5" max="5" width="15.28515625" style="1" customWidth="1"/>
    <col min="6" max="6" width="22.28515625" style="27" customWidth="1"/>
    <col min="7" max="7" width="15.28515625" style="35" customWidth="1"/>
    <col min="8" max="20" width="9.140625" style="1" customWidth="1"/>
    <col min="21" max="21" width="12" style="1" customWidth="1"/>
    <col min="22" max="25" width="11.5703125" style="1" customWidth="1"/>
    <col min="26" max="16384" width="11.5703125" style="1"/>
  </cols>
  <sheetData>
    <row r="2" spans="1:27" ht="17.25" x14ac:dyDescent="0.3">
      <c r="A2" s="15" t="s">
        <v>0</v>
      </c>
      <c r="B2" s="5"/>
      <c r="C2" s="5"/>
      <c r="D2" s="6"/>
      <c r="E2" s="5"/>
    </row>
    <row r="3" spans="1:27" ht="18.75" x14ac:dyDescent="0.3">
      <c r="A3" s="16" t="s">
        <v>163</v>
      </c>
      <c r="B3" s="5"/>
      <c r="C3" s="5"/>
      <c r="D3" s="6"/>
      <c r="E3" s="5"/>
      <c r="H3" s="184" t="s">
        <v>235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6"/>
    </row>
    <row r="4" spans="1:27" s="4" customFormat="1" ht="30.6" customHeight="1" x14ac:dyDescent="0.25">
      <c r="A4" s="75" t="s">
        <v>42</v>
      </c>
      <c r="B4" s="75" t="s">
        <v>39</v>
      </c>
      <c r="C4" s="75" t="s">
        <v>40</v>
      </c>
      <c r="D4" s="75" t="s">
        <v>108</v>
      </c>
      <c r="E4" s="75" t="s">
        <v>41</v>
      </c>
      <c r="F4" s="76" t="s">
        <v>104</v>
      </c>
      <c r="G4" s="76" t="s">
        <v>116</v>
      </c>
      <c r="H4" s="87" t="s">
        <v>222</v>
      </c>
      <c r="I4" s="87" t="s">
        <v>223</v>
      </c>
      <c r="J4" s="87" t="s">
        <v>224</v>
      </c>
      <c r="K4" s="87" t="s">
        <v>225</v>
      </c>
      <c r="L4" s="87" t="s">
        <v>226</v>
      </c>
      <c r="M4" s="87" t="s">
        <v>227</v>
      </c>
      <c r="N4" s="87" t="s">
        <v>228</v>
      </c>
      <c r="O4" s="87" t="s">
        <v>229</v>
      </c>
      <c r="P4" s="87" t="s">
        <v>230</v>
      </c>
      <c r="Q4" s="87" t="s">
        <v>231</v>
      </c>
      <c r="R4" s="87" t="s">
        <v>232</v>
      </c>
      <c r="S4" s="87" t="s">
        <v>233</v>
      </c>
      <c r="T4" s="83" t="s">
        <v>234</v>
      </c>
      <c r="U4" s="88" t="s">
        <v>343</v>
      </c>
      <c r="V4" s="123" t="s">
        <v>353</v>
      </c>
      <c r="W4" s="129" t="s">
        <v>356</v>
      </c>
      <c r="X4" s="135"/>
      <c r="Y4" s="159">
        <v>45839</v>
      </c>
      <c r="Z4" s="169"/>
      <c r="AA4" s="78" t="s">
        <v>471</v>
      </c>
    </row>
    <row r="5" spans="1:27" ht="38.25" customHeight="1" x14ac:dyDescent="0.3">
      <c r="A5" s="71">
        <v>1</v>
      </c>
      <c r="B5" s="77" t="s">
        <v>43</v>
      </c>
      <c r="C5" s="82" t="s">
        <v>44</v>
      </c>
      <c r="D5" s="89">
        <v>40583</v>
      </c>
      <c r="E5" s="71">
        <v>25</v>
      </c>
      <c r="F5" s="90" t="s">
        <v>260</v>
      </c>
      <c r="G5" s="85" t="s">
        <v>261</v>
      </c>
      <c r="H5" s="122">
        <v>50</v>
      </c>
      <c r="I5" s="122">
        <v>50</v>
      </c>
      <c r="J5" s="140">
        <v>50</v>
      </c>
      <c r="K5" s="140">
        <v>50</v>
      </c>
      <c r="L5" s="140">
        <v>50</v>
      </c>
      <c r="M5" s="140">
        <v>50</v>
      </c>
      <c r="N5" s="180">
        <v>50</v>
      </c>
      <c r="O5" s="180">
        <v>50</v>
      </c>
      <c r="P5" s="180">
        <v>50</v>
      </c>
      <c r="Q5" s="180">
        <v>50</v>
      </c>
      <c r="R5" s="85"/>
      <c r="S5" s="85"/>
      <c r="T5" s="85">
        <f t="shared" ref="T5:T10" si="0">SUM(H5:S5)</f>
        <v>500</v>
      </c>
      <c r="U5" s="73"/>
      <c r="V5" s="1">
        <v>100</v>
      </c>
      <c r="Y5" s="1">
        <v>200</v>
      </c>
    </row>
    <row r="6" spans="1:27" ht="35.25" customHeight="1" x14ac:dyDescent="0.3">
      <c r="A6" s="71">
        <v>1</v>
      </c>
      <c r="B6" s="77" t="s">
        <v>45</v>
      </c>
      <c r="C6" s="77" t="s">
        <v>46</v>
      </c>
      <c r="D6" s="89">
        <v>40738</v>
      </c>
      <c r="E6" s="71"/>
      <c r="F6" s="90" t="s">
        <v>150</v>
      </c>
      <c r="G6" s="85" t="s">
        <v>151</v>
      </c>
      <c r="H6" s="124">
        <v>50</v>
      </c>
      <c r="I6" s="124">
        <v>50</v>
      </c>
      <c r="J6" s="124">
        <v>50</v>
      </c>
      <c r="K6" s="124">
        <v>50</v>
      </c>
      <c r="L6" s="127">
        <v>50</v>
      </c>
      <c r="M6" s="127">
        <v>50</v>
      </c>
      <c r="N6" s="127">
        <v>50</v>
      </c>
      <c r="O6" s="127">
        <v>50</v>
      </c>
      <c r="P6" s="85">
        <v>50</v>
      </c>
      <c r="Q6" s="85">
        <v>50</v>
      </c>
      <c r="R6" s="85"/>
      <c r="S6" s="85"/>
      <c r="T6" s="85">
        <f t="shared" si="0"/>
        <v>500</v>
      </c>
      <c r="U6" s="73"/>
      <c r="W6" s="1">
        <v>200</v>
      </c>
      <c r="AA6" s="1">
        <v>100</v>
      </c>
    </row>
    <row r="7" spans="1:27" ht="18.600000000000001" customHeight="1" x14ac:dyDescent="0.3">
      <c r="A7" s="71">
        <v>1</v>
      </c>
      <c r="B7" s="77" t="s">
        <v>36</v>
      </c>
      <c r="C7" s="77" t="s">
        <v>194</v>
      </c>
      <c r="D7" s="89">
        <v>40366</v>
      </c>
      <c r="E7" s="71"/>
      <c r="F7" s="90" t="s">
        <v>192</v>
      </c>
      <c r="G7" s="85" t="s">
        <v>193</v>
      </c>
      <c r="H7" s="126">
        <v>50</v>
      </c>
      <c r="I7" s="126">
        <v>50</v>
      </c>
      <c r="J7" s="126">
        <v>50</v>
      </c>
      <c r="K7" s="132">
        <v>50</v>
      </c>
      <c r="L7" s="132">
        <v>50</v>
      </c>
      <c r="M7" s="140">
        <v>50</v>
      </c>
      <c r="N7" s="85">
        <v>50</v>
      </c>
      <c r="O7" s="85">
        <v>50</v>
      </c>
      <c r="P7" s="85"/>
      <c r="Q7" s="85"/>
      <c r="R7" s="85"/>
      <c r="S7" s="85"/>
      <c r="T7" s="85">
        <f t="shared" si="0"/>
        <v>400</v>
      </c>
      <c r="U7" s="73"/>
      <c r="W7" s="1">
        <v>150</v>
      </c>
      <c r="X7" s="1">
        <v>100</v>
      </c>
      <c r="Y7" s="1">
        <v>50</v>
      </c>
      <c r="AA7" s="1">
        <v>100</v>
      </c>
    </row>
    <row r="8" spans="1:27" s="67" customFormat="1" ht="36.75" customHeight="1" x14ac:dyDescent="0.3">
      <c r="A8" s="59">
        <v>1</v>
      </c>
      <c r="B8" s="91" t="s">
        <v>47</v>
      </c>
      <c r="C8" s="91" t="s">
        <v>48</v>
      </c>
      <c r="D8" s="89">
        <v>39569</v>
      </c>
      <c r="E8" s="71">
        <v>50</v>
      </c>
      <c r="F8" s="90" t="s">
        <v>252</v>
      </c>
      <c r="G8" s="85" t="s">
        <v>253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>
        <f t="shared" si="0"/>
        <v>0</v>
      </c>
      <c r="U8" s="73"/>
    </row>
    <row r="9" spans="1:27" ht="36" customHeight="1" x14ac:dyDescent="0.3">
      <c r="A9" s="71">
        <v>1</v>
      </c>
      <c r="B9" s="77" t="s">
        <v>315</v>
      </c>
      <c r="C9" s="77" t="s">
        <v>316</v>
      </c>
      <c r="D9" s="89">
        <v>40458</v>
      </c>
      <c r="E9" s="71"/>
      <c r="F9" s="90" t="s">
        <v>317</v>
      </c>
      <c r="G9" s="85" t="s">
        <v>318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>
        <f t="shared" si="0"/>
        <v>0</v>
      </c>
      <c r="U9" s="73"/>
    </row>
    <row r="10" spans="1:27" ht="36" customHeight="1" x14ac:dyDescent="0.3">
      <c r="A10" s="71">
        <v>1</v>
      </c>
      <c r="B10" s="77" t="s">
        <v>336</v>
      </c>
      <c r="C10" s="77" t="s">
        <v>337</v>
      </c>
      <c r="D10" s="89">
        <v>40509</v>
      </c>
      <c r="E10" s="71"/>
      <c r="F10" s="90" t="s">
        <v>338</v>
      </c>
      <c r="G10" s="85" t="s">
        <v>339</v>
      </c>
      <c r="H10" s="124">
        <v>50</v>
      </c>
      <c r="I10" s="124">
        <v>50</v>
      </c>
      <c r="J10" s="122">
        <v>50</v>
      </c>
      <c r="K10" s="122">
        <v>50</v>
      </c>
      <c r="L10" s="132">
        <v>50</v>
      </c>
      <c r="M10" s="132">
        <v>50</v>
      </c>
      <c r="N10" s="140">
        <v>50</v>
      </c>
      <c r="O10" s="140">
        <v>50</v>
      </c>
      <c r="P10" s="85"/>
      <c r="Q10" s="85"/>
      <c r="R10" s="85"/>
      <c r="S10" s="85"/>
      <c r="T10" s="85">
        <f t="shared" si="0"/>
        <v>400</v>
      </c>
      <c r="U10" s="73"/>
      <c r="V10" s="1">
        <v>100</v>
      </c>
      <c r="X10" s="1">
        <v>100</v>
      </c>
      <c r="Y10" s="1">
        <v>100</v>
      </c>
    </row>
    <row r="11" spans="1:27" ht="38.25" customHeight="1" x14ac:dyDescent="0.3">
      <c r="A11" s="71">
        <v>1</v>
      </c>
      <c r="B11" s="61" t="s">
        <v>49</v>
      </c>
      <c r="C11" s="61" t="s">
        <v>50</v>
      </c>
      <c r="D11" s="62">
        <v>39995</v>
      </c>
      <c r="E11" s="92">
        <v>0.25</v>
      </c>
      <c r="F11" s="93" t="s">
        <v>156</v>
      </c>
      <c r="G11" s="68" t="s">
        <v>157</v>
      </c>
      <c r="H11" s="80"/>
      <c r="I11" s="80"/>
      <c r="J11" s="122">
        <v>50</v>
      </c>
      <c r="K11" s="122">
        <v>50</v>
      </c>
      <c r="L11" s="132">
        <v>50</v>
      </c>
      <c r="M11" s="132">
        <v>50</v>
      </c>
      <c r="N11" s="166">
        <v>50</v>
      </c>
      <c r="O11" s="166">
        <v>50</v>
      </c>
      <c r="P11" s="68">
        <v>50</v>
      </c>
      <c r="Q11" s="68">
        <v>50</v>
      </c>
      <c r="R11" s="68"/>
      <c r="S11" s="68"/>
      <c r="T11" s="68">
        <f>SUM(J11:S11)</f>
        <v>400</v>
      </c>
      <c r="U11" s="72">
        <v>100</v>
      </c>
      <c r="V11" s="1">
        <v>100</v>
      </c>
      <c r="X11" s="1">
        <v>100</v>
      </c>
      <c r="Z11" s="1">
        <v>100</v>
      </c>
      <c r="AA11" s="1">
        <v>100</v>
      </c>
    </row>
    <row r="12" spans="1:27" ht="18.600000000000001" customHeight="1" x14ac:dyDescent="0.3">
      <c r="A12" s="71">
        <v>1</v>
      </c>
      <c r="B12" s="77" t="s">
        <v>51</v>
      </c>
      <c r="C12" s="77" t="s">
        <v>220</v>
      </c>
      <c r="D12" s="89">
        <v>40604</v>
      </c>
      <c r="E12" s="71"/>
      <c r="F12" s="90" t="s">
        <v>221</v>
      </c>
      <c r="G12" s="85">
        <v>36127776</v>
      </c>
      <c r="H12" s="124">
        <v>50</v>
      </c>
      <c r="I12" s="124">
        <v>50</v>
      </c>
      <c r="J12" s="127">
        <v>50</v>
      </c>
      <c r="K12" s="127">
        <v>50</v>
      </c>
      <c r="L12" s="127">
        <v>50</v>
      </c>
      <c r="M12" s="166">
        <v>50</v>
      </c>
      <c r="N12" s="166">
        <v>50</v>
      </c>
      <c r="O12" s="166">
        <v>50</v>
      </c>
      <c r="P12" s="85"/>
      <c r="Q12" s="85"/>
      <c r="R12" s="85"/>
      <c r="S12" s="85"/>
      <c r="T12" s="85">
        <f>SUM(H12:S12)</f>
        <v>400</v>
      </c>
      <c r="U12" s="73"/>
      <c r="W12" s="1">
        <v>150</v>
      </c>
      <c r="Z12" s="1">
        <v>150</v>
      </c>
    </row>
    <row r="13" spans="1:27" ht="18.600000000000001" customHeight="1" x14ac:dyDescent="0.3">
      <c r="A13" s="71">
        <v>1</v>
      </c>
      <c r="B13" s="77" t="s">
        <v>52</v>
      </c>
      <c r="C13" s="82" t="s">
        <v>296</v>
      </c>
      <c r="D13" s="89">
        <v>39256</v>
      </c>
      <c r="E13" s="71">
        <v>50</v>
      </c>
      <c r="F13" s="90" t="s">
        <v>297</v>
      </c>
      <c r="G13" s="85">
        <v>59915415</v>
      </c>
      <c r="H13" s="124">
        <v>50</v>
      </c>
      <c r="I13" s="85"/>
      <c r="J13" s="85"/>
      <c r="K13" s="85"/>
      <c r="L13" s="85"/>
      <c r="M13" s="132">
        <v>50</v>
      </c>
      <c r="N13" s="85"/>
      <c r="O13" s="85"/>
      <c r="P13" s="85"/>
      <c r="Q13" s="85"/>
      <c r="R13" s="85"/>
      <c r="S13" s="85"/>
      <c r="T13" s="85">
        <f>SUM(H13:S13)</f>
        <v>100</v>
      </c>
      <c r="U13" s="73"/>
      <c r="X13" s="1">
        <v>50</v>
      </c>
    </row>
    <row r="14" spans="1:27" ht="33" x14ac:dyDescent="0.3">
      <c r="A14" s="71">
        <v>1</v>
      </c>
      <c r="B14" s="77" t="s">
        <v>54</v>
      </c>
      <c r="C14" s="77" t="s">
        <v>190</v>
      </c>
      <c r="D14" s="89">
        <v>40711</v>
      </c>
      <c r="E14" s="71"/>
      <c r="F14" s="90" t="s">
        <v>191</v>
      </c>
      <c r="G14" s="85">
        <v>50636279</v>
      </c>
      <c r="H14" s="80"/>
      <c r="I14" s="80"/>
      <c r="J14" s="80"/>
      <c r="K14" s="80"/>
      <c r="L14" s="139">
        <v>50</v>
      </c>
      <c r="M14" s="139">
        <v>50</v>
      </c>
      <c r="N14" s="139">
        <v>50</v>
      </c>
      <c r="O14" s="139">
        <v>50</v>
      </c>
      <c r="P14" s="85"/>
      <c r="Q14" s="85"/>
      <c r="R14" s="85"/>
      <c r="S14" s="85"/>
      <c r="T14" s="85">
        <f>SUM(L14:S14)</f>
        <v>200</v>
      </c>
      <c r="U14" s="73">
        <v>200</v>
      </c>
      <c r="Y14" s="1">
        <v>200</v>
      </c>
    </row>
    <row r="15" spans="1:27" ht="33" x14ac:dyDescent="0.3">
      <c r="A15" s="71">
        <v>1</v>
      </c>
      <c r="B15" s="82" t="s">
        <v>55</v>
      </c>
      <c r="C15" s="82" t="s">
        <v>56</v>
      </c>
      <c r="D15" s="89">
        <v>39345</v>
      </c>
      <c r="E15" s="71">
        <v>25</v>
      </c>
      <c r="F15" s="90" t="s">
        <v>158</v>
      </c>
      <c r="G15" s="85" t="s">
        <v>159</v>
      </c>
      <c r="H15" s="140">
        <v>50</v>
      </c>
      <c r="I15" s="140">
        <v>50</v>
      </c>
      <c r="J15" s="140">
        <v>50</v>
      </c>
      <c r="K15" s="140">
        <v>50</v>
      </c>
      <c r="L15" s="140">
        <v>50</v>
      </c>
      <c r="M15" s="140">
        <v>50</v>
      </c>
      <c r="N15" s="85"/>
      <c r="O15" s="85"/>
      <c r="P15" s="85"/>
      <c r="Q15" s="85"/>
      <c r="R15" s="85"/>
      <c r="S15" s="85"/>
      <c r="T15" s="85">
        <f>SUM(H15:S15)</f>
        <v>300</v>
      </c>
      <c r="U15" s="73"/>
      <c r="Y15" s="1">
        <v>300</v>
      </c>
    </row>
    <row r="16" spans="1:27" ht="33" x14ac:dyDescent="0.3">
      <c r="A16" s="71">
        <v>1</v>
      </c>
      <c r="B16" s="82" t="s">
        <v>57</v>
      </c>
      <c r="C16" s="82" t="s">
        <v>112</v>
      </c>
      <c r="D16" s="89">
        <v>40406</v>
      </c>
      <c r="E16" s="71"/>
      <c r="F16" s="90" t="s">
        <v>113</v>
      </c>
      <c r="G16" s="85" t="s">
        <v>126</v>
      </c>
      <c r="H16" s="124">
        <v>50</v>
      </c>
      <c r="I16" s="124">
        <v>50</v>
      </c>
      <c r="J16" s="122">
        <v>50</v>
      </c>
      <c r="K16" s="122">
        <v>50</v>
      </c>
      <c r="L16" s="132">
        <v>50</v>
      </c>
      <c r="M16" s="132">
        <v>50</v>
      </c>
      <c r="N16" s="166">
        <v>50</v>
      </c>
      <c r="O16" s="166">
        <v>50</v>
      </c>
      <c r="P16" s="85"/>
      <c r="Q16" s="85"/>
      <c r="R16" s="85"/>
      <c r="S16" s="85"/>
      <c r="T16" s="85">
        <f>SUM(H16:S16)</f>
        <v>400</v>
      </c>
      <c r="U16" s="73"/>
      <c r="V16" s="1">
        <v>100</v>
      </c>
      <c r="X16" s="1">
        <v>100</v>
      </c>
      <c r="Z16" s="1">
        <v>100</v>
      </c>
    </row>
    <row r="17" spans="1:27" ht="33" x14ac:dyDescent="0.3">
      <c r="A17" s="71">
        <v>1</v>
      </c>
      <c r="B17" s="77" t="s">
        <v>58</v>
      </c>
      <c r="C17" s="77" t="s">
        <v>59</v>
      </c>
      <c r="D17" s="89">
        <v>40693</v>
      </c>
      <c r="E17" s="71"/>
      <c r="F17" s="90" t="s">
        <v>179</v>
      </c>
      <c r="G17" s="85">
        <v>45232828</v>
      </c>
      <c r="H17" s="124">
        <v>50</v>
      </c>
      <c r="I17" s="124">
        <v>50</v>
      </c>
      <c r="J17" s="122">
        <v>50</v>
      </c>
      <c r="K17" s="126">
        <v>50</v>
      </c>
      <c r="L17" s="132">
        <v>50</v>
      </c>
      <c r="M17" s="138">
        <v>50</v>
      </c>
      <c r="N17" s="166">
        <v>50</v>
      </c>
      <c r="O17" s="85">
        <v>50</v>
      </c>
      <c r="P17" s="85"/>
      <c r="Q17" s="85"/>
      <c r="R17" s="85"/>
      <c r="S17" s="85"/>
      <c r="T17" s="85">
        <f>SUM(H17:S17)</f>
        <v>400</v>
      </c>
      <c r="U17" s="73"/>
      <c r="V17" s="1">
        <v>50</v>
      </c>
      <c r="W17" s="1">
        <v>50</v>
      </c>
      <c r="X17" s="1">
        <v>50</v>
      </c>
      <c r="Y17" s="1">
        <v>50</v>
      </c>
      <c r="Z17" s="1">
        <v>50</v>
      </c>
      <c r="AA17" s="1">
        <v>50</v>
      </c>
    </row>
    <row r="18" spans="1:27" ht="18.600000000000001" customHeight="1" x14ac:dyDescent="0.3">
      <c r="A18" s="71">
        <v>1</v>
      </c>
      <c r="B18" s="77" t="s">
        <v>77</v>
      </c>
      <c r="C18" s="77" t="s">
        <v>242</v>
      </c>
      <c r="D18" s="89"/>
      <c r="E18" s="71"/>
      <c r="F18" s="90"/>
      <c r="G18" s="85"/>
      <c r="H18" s="124">
        <v>50</v>
      </c>
      <c r="I18" s="124">
        <v>50</v>
      </c>
      <c r="J18" s="124">
        <v>50</v>
      </c>
      <c r="K18" s="124">
        <v>50</v>
      </c>
      <c r="L18" s="140">
        <v>50</v>
      </c>
      <c r="M18" s="140">
        <v>50</v>
      </c>
      <c r="N18" s="140">
        <v>50</v>
      </c>
      <c r="O18" s="85">
        <v>50</v>
      </c>
      <c r="P18" s="85">
        <v>50</v>
      </c>
      <c r="Q18" s="85"/>
      <c r="R18" s="85"/>
      <c r="S18" s="85"/>
      <c r="T18" s="85">
        <f>SUM(H18:S18)</f>
        <v>450</v>
      </c>
      <c r="U18" s="73"/>
      <c r="Y18" s="1">
        <v>150</v>
      </c>
      <c r="AA18" s="1">
        <v>100</v>
      </c>
    </row>
    <row r="19" spans="1:27" ht="33" x14ac:dyDescent="0.3">
      <c r="A19" s="71">
        <v>1</v>
      </c>
      <c r="B19" s="77" t="s">
        <v>254</v>
      </c>
      <c r="C19" s="77" t="s">
        <v>60</v>
      </c>
      <c r="D19" s="89">
        <v>40478</v>
      </c>
      <c r="E19" s="71"/>
      <c r="F19" s="90" t="s">
        <v>255</v>
      </c>
      <c r="G19" s="85" t="s">
        <v>256</v>
      </c>
      <c r="H19" s="80"/>
      <c r="I19" s="122">
        <v>50</v>
      </c>
      <c r="J19" s="122">
        <v>50</v>
      </c>
      <c r="K19" s="126">
        <v>50</v>
      </c>
      <c r="L19" s="138">
        <v>50</v>
      </c>
      <c r="M19" s="137">
        <v>50</v>
      </c>
      <c r="N19" s="137">
        <v>50</v>
      </c>
      <c r="O19" s="85"/>
      <c r="P19" s="85"/>
      <c r="Q19" s="85"/>
      <c r="R19" s="85"/>
      <c r="S19" s="85"/>
      <c r="T19" s="85">
        <f>SUM(I19:S19)</f>
        <v>300</v>
      </c>
      <c r="U19" s="73">
        <v>50</v>
      </c>
      <c r="V19" s="1">
        <v>100</v>
      </c>
      <c r="W19" s="1">
        <v>50</v>
      </c>
      <c r="Y19" s="1">
        <v>150</v>
      </c>
    </row>
    <row r="20" spans="1:27" ht="33" x14ac:dyDescent="0.3">
      <c r="A20" s="71">
        <v>1</v>
      </c>
      <c r="B20" s="77" t="s">
        <v>279</v>
      </c>
      <c r="C20" s="77" t="s">
        <v>280</v>
      </c>
      <c r="D20" s="89">
        <v>40718</v>
      </c>
      <c r="E20" s="71"/>
      <c r="F20" s="90" t="s">
        <v>281</v>
      </c>
      <c r="G20" s="85" t="s">
        <v>282</v>
      </c>
      <c r="H20" s="124">
        <v>50</v>
      </c>
      <c r="I20" s="124">
        <v>50</v>
      </c>
      <c r="J20" s="126">
        <v>50</v>
      </c>
      <c r="K20" s="126">
        <v>50</v>
      </c>
      <c r="L20" s="166">
        <v>50</v>
      </c>
      <c r="M20" s="166">
        <v>50</v>
      </c>
      <c r="N20" s="85"/>
      <c r="O20" s="85"/>
      <c r="P20" s="85"/>
      <c r="Q20" s="85"/>
      <c r="R20" s="85"/>
      <c r="S20" s="85"/>
      <c r="T20" s="85">
        <f>SUM(H20:S20)</f>
        <v>300</v>
      </c>
      <c r="U20" s="73"/>
      <c r="W20" s="1">
        <v>100</v>
      </c>
      <c r="Z20" s="1">
        <v>100</v>
      </c>
    </row>
    <row r="21" spans="1:27" ht="66" x14ac:dyDescent="0.3">
      <c r="A21" s="71">
        <v>1</v>
      </c>
      <c r="B21" s="77" t="s">
        <v>61</v>
      </c>
      <c r="C21" s="77" t="s">
        <v>62</v>
      </c>
      <c r="D21" s="89">
        <v>39855</v>
      </c>
      <c r="E21" s="71"/>
      <c r="F21" s="90" t="s">
        <v>103</v>
      </c>
      <c r="G21" s="90" t="s">
        <v>177</v>
      </c>
      <c r="H21" s="122">
        <v>50</v>
      </c>
      <c r="I21" s="122">
        <v>50</v>
      </c>
      <c r="J21" s="122">
        <v>50</v>
      </c>
      <c r="K21" s="85"/>
      <c r="L21" s="85"/>
      <c r="M21" s="85"/>
      <c r="N21" s="85"/>
      <c r="O21" s="85"/>
      <c r="P21" s="85"/>
      <c r="Q21" s="85"/>
      <c r="R21" s="85"/>
      <c r="S21" s="85"/>
      <c r="T21" s="85">
        <f>SUM(H21:S21)</f>
        <v>150</v>
      </c>
      <c r="U21" s="73"/>
      <c r="V21" s="1">
        <v>150</v>
      </c>
    </row>
    <row r="22" spans="1:27" ht="66" x14ac:dyDescent="0.3">
      <c r="A22" s="71">
        <v>1</v>
      </c>
      <c r="B22" s="77" t="s">
        <v>61</v>
      </c>
      <c r="C22" s="82" t="s">
        <v>178</v>
      </c>
      <c r="D22" s="89">
        <v>40004</v>
      </c>
      <c r="E22" s="71"/>
      <c r="F22" s="90" t="s">
        <v>103</v>
      </c>
      <c r="G22" s="90" t="s">
        <v>177</v>
      </c>
      <c r="H22" s="122">
        <v>50</v>
      </c>
      <c r="I22" s="122">
        <v>50</v>
      </c>
      <c r="J22" s="122">
        <v>50</v>
      </c>
      <c r="K22" s="85"/>
      <c r="L22" s="85"/>
      <c r="M22" s="85"/>
      <c r="N22" s="85"/>
      <c r="O22" s="85"/>
      <c r="P22" s="85"/>
      <c r="Q22" s="85"/>
      <c r="R22" s="85"/>
      <c r="S22" s="85"/>
      <c r="T22" s="85">
        <f>SUM(H22:S22)</f>
        <v>150</v>
      </c>
      <c r="U22" s="73"/>
      <c r="V22" s="1">
        <v>150</v>
      </c>
    </row>
    <row r="23" spans="1:27" ht="33" x14ac:dyDescent="0.3">
      <c r="A23" s="71">
        <v>1</v>
      </c>
      <c r="B23" s="77" t="s">
        <v>214</v>
      </c>
      <c r="C23" s="77" t="s">
        <v>213</v>
      </c>
      <c r="D23" s="89">
        <v>40269</v>
      </c>
      <c r="E23" s="71"/>
      <c r="F23" s="90" t="s">
        <v>215</v>
      </c>
      <c r="G23" s="85">
        <v>49190774</v>
      </c>
      <c r="H23" s="166">
        <v>50</v>
      </c>
      <c r="I23" s="166">
        <v>50</v>
      </c>
      <c r="J23" s="166">
        <v>50</v>
      </c>
      <c r="K23" s="166">
        <v>50</v>
      </c>
      <c r="L23" s="166">
        <v>50</v>
      </c>
      <c r="M23" s="166">
        <v>50</v>
      </c>
      <c r="N23" s="85"/>
      <c r="O23" s="85"/>
      <c r="P23" s="85"/>
      <c r="Q23" s="85"/>
      <c r="R23" s="85"/>
      <c r="S23" s="85"/>
      <c r="T23" s="85">
        <f>SUM(H23:S23)</f>
        <v>300</v>
      </c>
      <c r="U23" s="73"/>
      <c r="Z23" s="1">
        <v>300</v>
      </c>
    </row>
    <row r="24" spans="1:27" ht="49.5" x14ac:dyDescent="0.3">
      <c r="A24" s="71">
        <v>1</v>
      </c>
      <c r="B24" s="77" t="s">
        <v>199</v>
      </c>
      <c r="C24" s="77" t="s">
        <v>63</v>
      </c>
      <c r="D24" s="89">
        <v>40615</v>
      </c>
      <c r="E24" s="71"/>
      <c r="F24" s="90" t="s">
        <v>475</v>
      </c>
      <c r="G24" s="90" t="s">
        <v>476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5"/>
      <c r="S24" s="85"/>
      <c r="T24" s="85">
        <f>SUM(R24:S24)</f>
        <v>0</v>
      </c>
      <c r="U24" s="73">
        <v>500</v>
      </c>
    </row>
    <row r="25" spans="1:27" ht="17.25" x14ac:dyDescent="0.3">
      <c r="A25" s="71">
        <v>1</v>
      </c>
      <c r="B25" s="77" t="s">
        <v>173</v>
      </c>
      <c r="C25" s="77" t="s">
        <v>174</v>
      </c>
      <c r="D25" s="94">
        <v>40753</v>
      </c>
      <c r="E25" s="71"/>
      <c r="F25" s="90" t="s">
        <v>175</v>
      </c>
      <c r="G25" s="85" t="s">
        <v>176</v>
      </c>
      <c r="H25" s="124">
        <v>50</v>
      </c>
      <c r="I25" s="124">
        <v>50</v>
      </c>
      <c r="J25" s="122">
        <v>50</v>
      </c>
      <c r="K25" s="122">
        <v>50</v>
      </c>
      <c r="L25" s="132">
        <v>50</v>
      </c>
      <c r="M25" s="132">
        <v>50</v>
      </c>
      <c r="N25" s="85">
        <v>50</v>
      </c>
      <c r="O25" s="85">
        <v>50</v>
      </c>
      <c r="P25" s="85">
        <v>50</v>
      </c>
      <c r="Q25" s="85"/>
      <c r="R25" s="85"/>
      <c r="S25" s="85"/>
      <c r="T25" s="85">
        <f>SUM(H25:S25)</f>
        <v>450</v>
      </c>
      <c r="U25" s="73"/>
      <c r="V25" s="1">
        <v>100</v>
      </c>
      <c r="X25" s="1">
        <v>100</v>
      </c>
      <c r="AA25" s="1">
        <v>150</v>
      </c>
    </row>
    <row r="26" spans="1:27" ht="33" x14ac:dyDescent="0.3">
      <c r="A26" s="71">
        <v>1</v>
      </c>
      <c r="B26" s="77" t="s">
        <v>64</v>
      </c>
      <c r="C26" s="77" t="s">
        <v>184</v>
      </c>
      <c r="D26" s="188">
        <v>40287</v>
      </c>
      <c r="E26" s="71">
        <v>25</v>
      </c>
      <c r="F26" s="90" t="s">
        <v>185</v>
      </c>
      <c r="G26" s="85" t="s">
        <v>186</v>
      </c>
      <c r="H26" s="124">
        <v>50</v>
      </c>
      <c r="I26" s="124">
        <v>50</v>
      </c>
      <c r="J26" s="124">
        <v>50</v>
      </c>
      <c r="K26" s="124">
        <v>50</v>
      </c>
      <c r="L26" s="132">
        <v>50</v>
      </c>
      <c r="M26" s="132">
        <v>50</v>
      </c>
      <c r="N26" s="166">
        <v>50</v>
      </c>
      <c r="O26" s="166">
        <v>50</v>
      </c>
      <c r="P26" s="85"/>
      <c r="Q26" s="85"/>
      <c r="R26" s="85"/>
      <c r="S26" s="85"/>
      <c r="T26" s="85">
        <f>SUM(H26:S26)</f>
        <v>400</v>
      </c>
      <c r="U26" s="73"/>
      <c r="X26" s="1">
        <v>100</v>
      </c>
      <c r="Z26" s="1">
        <v>100</v>
      </c>
    </row>
    <row r="27" spans="1:27" ht="33" x14ac:dyDescent="0.3">
      <c r="A27" s="71"/>
      <c r="B27" s="77" t="s">
        <v>264</v>
      </c>
      <c r="C27" s="77" t="s">
        <v>351</v>
      </c>
      <c r="D27" s="94">
        <v>40479</v>
      </c>
      <c r="E27" s="71">
        <v>25</v>
      </c>
      <c r="F27" s="90" t="s">
        <v>265</v>
      </c>
      <c r="G27" s="85" t="s">
        <v>266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>
        <f>SUM(H27:S27)</f>
        <v>0</v>
      </c>
      <c r="U27" s="73"/>
    </row>
    <row r="28" spans="1:27" ht="33" x14ac:dyDescent="0.3">
      <c r="A28" s="71"/>
      <c r="B28" s="77" t="s">
        <v>264</v>
      </c>
      <c r="C28" s="77" t="s">
        <v>263</v>
      </c>
      <c r="D28" s="94">
        <v>39670</v>
      </c>
      <c r="E28" s="71">
        <v>25</v>
      </c>
      <c r="F28" s="90" t="s">
        <v>265</v>
      </c>
      <c r="G28" s="85" t="s">
        <v>266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>
        <f>SUM(H28:S28)</f>
        <v>0</v>
      </c>
      <c r="U28" s="73"/>
    </row>
    <row r="29" spans="1:27" ht="18.600000000000001" customHeight="1" x14ac:dyDescent="0.3">
      <c r="A29" s="71">
        <v>1</v>
      </c>
      <c r="B29" s="77" t="s">
        <v>65</v>
      </c>
      <c r="C29" s="77" t="s">
        <v>66</v>
      </c>
      <c r="D29" s="94">
        <v>40528</v>
      </c>
      <c r="E29" s="71">
        <v>50</v>
      </c>
      <c r="F29" s="90" t="s">
        <v>183</v>
      </c>
      <c r="G29" s="85">
        <v>41859786</v>
      </c>
      <c r="H29" s="80"/>
      <c r="I29" s="80"/>
      <c r="J29" s="122">
        <v>50</v>
      </c>
      <c r="K29" s="122">
        <v>50</v>
      </c>
      <c r="L29" s="126">
        <v>50</v>
      </c>
      <c r="M29" s="126">
        <v>50</v>
      </c>
      <c r="N29" s="126">
        <v>50</v>
      </c>
      <c r="O29" s="126">
        <v>50</v>
      </c>
      <c r="P29" s="85"/>
      <c r="Q29" s="85"/>
      <c r="R29" s="85"/>
      <c r="S29" s="85"/>
      <c r="T29" s="85">
        <f>SUM(J29:S29)</f>
        <v>300</v>
      </c>
      <c r="U29" s="73">
        <v>100</v>
      </c>
      <c r="V29" s="1">
        <v>100</v>
      </c>
      <c r="W29" s="1">
        <v>200</v>
      </c>
    </row>
    <row r="30" spans="1:27" ht="18.600000000000001" customHeight="1" x14ac:dyDescent="0.3">
      <c r="A30" s="71">
        <v>1</v>
      </c>
      <c r="B30" s="77" t="s">
        <v>120</v>
      </c>
      <c r="C30" s="77" t="s">
        <v>67</v>
      </c>
      <c r="D30" s="94">
        <v>39975</v>
      </c>
      <c r="E30" s="71"/>
      <c r="F30" s="90" t="s">
        <v>114</v>
      </c>
      <c r="G30" s="85" t="s">
        <v>127</v>
      </c>
      <c r="H30" s="80"/>
      <c r="I30" s="124">
        <v>50</v>
      </c>
      <c r="J30" s="122">
        <v>50</v>
      </c>
      <c r="K30" s="132">
        <v>50</v>
      </c>
      <c r="L30" s="132">
        <v>50</v>
      </c>
      <c r="M30" s="166">
        <v>50</v>
      </c>
      <c r="N30" s="85">
        <v>50</v>
      </c>
      <c r="O30" s="85">
        <v>50</v>
      </c>
      <c r="P30" s="85"/>
      <c r="Q30" s="85"/>
      <c r="R30" s="85"/>
      <c r="S30" s="85"/>
      <c r="T30" s="85">
        <f>SUM(I30:S30)</f>
        <v>350</v>
      </c>
      <c r="U30" s="73">
        <v>50</v>
      </c>
      <c r="V30" s="1">
        <v>50</v>
      </c>
      <c r="X30" s="1">
        <v>100</v>
      </c>
      <c r="Z30" s="1">
        <v>50</v>
      </c>
      <c r="AA30" s="1">
        <v>100</v>
      </c>
    </row>
    <row r="31" spans="1:27" ht="36.75" customHeight="1" x14ac:dyDescent="0.3">
      <c r="A31" s="71">
        <v>1</v>
      </c>
      <c r="B31" s="77" t="s">
        <v>245</v>
      </c>
      <c r="C31" s="77" t="s">
        <v>68</v>
      </c>
      <c r="D31" s="95" t="s">
        <v>180</v>
      </c>
      <c r="E31" s="71"/>
      <c r="F31" s="90" t="s">
        <v>182</v>
      </c>
      <c r="G31" s="85" t="s">
        <v>181</v>
      </c>
      <c r="H31" s="80"/>
      <c r="I31" s="80"/>
      <c r="J31" s="122">
        <v>50</v>
      </c>
      <c r="K31" s="122">
        <v>50</v>
      </c>
      <c r="L31" s="132">
        <v>50</v>
      </c>
      <c r="M31" s="132">
        <v>50</v>
      </c>
      <c r="N31" s="166">
        <v>50</v>
      </c>
      <c r="O31" s="166">
        <v>50</v>
      </c>
      <c r="P31" s="180">
        <v>50</v>
      </c>
      <c r="Q31" s="180">
        <v>50</v>
      </c>
      <c r="R31" s="85"/>
      <c r="S31" s="85"/>
      <c r="T31" s="85">
        <f>SUM(J31:S31)</f>
        <v>400</v>
      </c>
      <c r="U31" s="73">
        <v>100</v>
      </c>
      <c r="V31" s="1">
        <v>100</v>
      </c>
      <c r="X31" s="1">
        <v>100</v>
      </c>
      <c r="Z31" s="1">
        <v>100</v>
      </c>
    </row>
    <row r="32" spans="1:27" ht="38.25" customHeight="1" x14ac:dyDescent="0.3">
      <c r="A32" s="71">
        <v>1</v>
      </c>
      <c r="B32" s="77" t="s">
        <v>69</v>
      </c>
      <c r="C32" s="77" t="s">
        <v>70</v>
      </c>
      <c r="D32" s="89">
        <v>40253</v>
      </c>
      <c r="E32" s="71"/>
      <c r="F32" s="90" t="s">
        <v>330</v>
      </c>
      <c r="G32" s="85" t="s">
        <v>331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>
        <f>SUM(H32:S32)</f>
        <v>0</v>
      </c>
      <c r="U32" s="73"/>
    </row>
    <row r="33" spans="1:27" s="29" customFormat="1" ht="18.600000000000001" customHeight="1" x14ac:dyDescent="0.2">
      <c r="A33" s="96">
        <f>SUM(A5:A32)</f>
        <v>26</v>
      </c>
      <c r="B33" s="96"/>
      <c r="C33" s="96"/>
      <c r="D33" s="96"/>
      <c r="E33" s="96"/>
      <c r="F33" s="97"/>
      <c r="G33" s="96"/>
      <c r="H33" s="96">
        <f>SUM(H5:H32)</f>
        <v>800</v>
      </c>
      <c r="I33" s="96">
        <f t="shared" ref="I33:S33" si="1">SUM(I5:I32)</f>
        <v>850</v>
      </c>
      <c r="J33" s="96">
        <f t="shared" si="1"/>
        <v>1000</v>
      </c>
      <c r="K33" s="96">
        <f t="shared" si="1"/>
        <v>900</v>
      </c>
      <c r="L33" s="96">
        <f t="shared" si="1"/>
        <v>950</v>
      </c>
      <c r="M33" s="96">
        <f t="shared" si="1"/>
        <v>1000</v>
      </c>
      <c r="N33" s="96">
        <f t="shared" si="1"/>
        <v>800</v>
      </c>
      <c r="O33" s="96">
        <f t="shared" si="1"/>
        <v>750</v>
      </c>
      <c r="P33" s="96">
        <f t="shared" si="1"/>
        <v>300</v>
      </c>
      <c r="Q33" s="96">
        <f t="shared" si="1"/>
        <v>200</v>
      </c>
      <c r="R33" s="96">
        <f t="shared" si="1"/>
        <v>0</v>
      </c>
      <c r="S33" s="96">
        <f t="shared" si="1"/>
        <v>0</v>
      </c>
      <c r="T33" s="96">
        <f t="shared" ref="T33:Y33" si="2">SUM(T5:T32)</f>
        <v>7550</v>
      </c>
      <c r="U33" s="74">
        <f t="shared" si="2"/>
        <v>1100</v>
      </c>
      <c r="V33" s="29">
        <f t="shared" si="2"/>
        <v>1200</v>
      </c>
      <c r="W33" s="29">
        <f t="shared" si="2"/>
        <v>900</v>
      </c>
      <c r="X33" s="29">
        <f t="shared" si="2"/>
        <v>900</v>
      </c>
      <c r="Y33" s="29">
        <f t="shared" si="2"/>
        <v>1200</v>
      </c>
      <c r="Z33" s="29">
        <f>SUM(Z5:Z32)</f>
        <v>1050</v>
      </c>
      <c r="AA33" s="29">
        <f>SUM(AA5:AA32)</f>
        <v>700</v>
      </c>
    </row>
    <row r="34" spans="1:27" x14ac:dyDescent="0.3">
      <c r="A34" s="98"/>
      <c r="B34" s="73"/>
      <c r="C34" s="73"/>
      <c r="D34" s="98"/>
      <c r="E34" s="73"/>
      <c r="F34" s="99"/>
      <c r="G34" s="100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</row>
  </sheetData>
  <sortState xmlns:xlrd2="http://schemas.microsoft.com/office/spreadsheetml/2017/richdata2" ref="B5:U33">
    <sortCondition ref="B5:B33"/>
  </sortState>
  <mergeCells count="1">
    <mergeCell ref="H3:S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F86B-85B2-4731-B457-AEB5C7D19170}">
  <dimension ref="A2:AA29"/>
  <sheetViews>
    <sheetView zoomScale="83" zoomScaleNormal="115" workbookViewId="0">
      <selection activeCell="G6" sqref="G6"/>
    </sheetView>
  </sheetViews>
  <sheetFormatPr baseColWidth="10" defaultColWidth="11.5703125" defaultRowHeight="16.5" x14ac:dyDescent="0.3"/>
  <cols>
    <col min="1" max="1" width="5.5703125" style="2" customWidth="1"/>
    <col min="2" max="3" width="23.7109375" style="38" customWidth="1"/>
    <col min="4" max="4" width="25.28515625" style="2" customWidth="1"/>
    <col min="5" max="5" width="18.5703125" style="1" customWidth="1"/>
    <col min="6" max="6" width="33.28515625" style="27" customWidth="1"/>
    <col min="7" max="7" width="19.7109375" style="27" customWidth="1"/>
    <col min="8" max="20" width="9.42578125" style="1" customWidth="1"/>
    <col min="21" max="25" width="11.5703125" style="1" customWidth="1"/>
    <col min="26" max="16384" width="11.5703125" style="1"/>
  </cols>
  <sheetData>
    <row r="2" spans="1:27" ht="17.25" x14ac:dyDescent="0.3">
      <c r="A2" s="15" t="s">
        <v>0</v>
      </c>
      <c r="B2" s="16"/>
      <c r="C2" s="16"/>
      <c r="D2" s="6"/>
      <c r="E2" s="5"/>
    </row>
    <row r="3" spans="1:27" ht="18.75" x14ac:dyDescent="0.3">
      <c r="A3" s="8" t="s">
        <v>167</v>
      </c>
      <c r="B3" s="8"/>
      <c r="C3" s="8"/>
      <c r="D3" s="48"/>
      <c r="E3" s="49"/>
      <c r="F3" s="50"/>
      <c r="G3" s="50"/>
      <c r="H3" s="187" t="s">
        <v>235</v>
      </c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2"/>
    </row>
    <row r="4" spans="1:27" s="4" customFormat="1" ht="30.6" customHeight="1" x14ac:dyDescent="0.25">
      <c r="A4" s="13" t="s">
        <v>42</v>
      </c>
      <c r="B4" s="36" t="s">
        <v>39</v>
      </c>
      <c r="C4" s="36" t="s">
        <v>40</v>
      </c>
      <c r="D4" s="13" t="s">
        <v>108</v>
      </c>
      <c r="E4" s="13" t="s">
        <v>41</v>
      </c>
      <c r="F4" s="14" t="s">
        <v>104</v>
      </c>
      <c r="G4" s="14" t="s">
        <v>116</v>
      </c>
      <c r="H4" s="45" t="s">
        <v>222</v>
      </c>
      <c r="I4" s="45" t="s">
        <v>223</v>
      </c>
      <c r="J4" s="45" t="s">
        <v>224</v>
      </c>
      <c r="K4" s="45" t="s">
        <v>225</v>
      </c>
      <c r="L4" s="45" t="s">
        <v>226</v>
      </c>
      <c r="M4" s="45" t="s">
        <v>227</v>
      </c>
      <c r="N4" s="45" t="s">
        <v>228</v>
      </c>
      <c r="O4" s="45" t="s">
        <v>229</v>
      </c>
      <c r="P4" s="45" t="s">
        <v>230</v>
      </c>
      <c r="Q4" s="45" t="s">
        <v>231</v>
      </c>
      <c r="R4" s="45" t="s">
        <v>232</v>
      </c>
      <c r="S4" s="45" t="s">
        <v>233</v>
      </c>
      <c r="T4" s="3" t="s">
        <v>234</v>
      </c>
      <c r="U4" s="4" t="s">
        <v>342</v>
      </c>
      <c r="V4" s="123" t="s">
        <v>353</v>
      </c>
      <c r="W4" s="129" t="s">
        <v>356</v>
      </c>
      <c r="X4" s="135"/>
      <c r="Y4" s="159">
        <v>45839</v>
      </c>
      <c r="Z4" s="169"/>
      <c r="AA4" s="78" t="s">
        <v>471</v>
      </c>
    </row>
    <row r="5" spans="1:27" s="44" customFormat="1" ht="17.45" customHeight="1" x14ac:dyDescent="0.3">
      <c r="A5" s="71">
        <v>1</v>
      </c>
      <c r="B5" s="77" t="s">
        <v>71</v>
      </c>
      <c r="C5" s="77" t="s">
        <v>72</v>
      </c>
      <c r="D5" s="41">
        <v>40002</v>
      </c>
      <c r="E5" s="40"/>
      <c r="F5" s="42" t="s">
        <v>198</v>
      </c>
      <c r="G5" s="42">
        <v>47616125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43"/>
      <c r="S5" s="43"/>
      <c r="T5" s="85">
        <f>SUM(R5:S5)</f>
        <v>0</v>
      </c>
      <c r="U5" s="73">
        <v>500</v>
      </c>
    </row>
    <row r="6" spans="1:27" ht="43.5" customHeight="1" x14ac:dyDescent="0.3">
      <c r="A6" s="71">
        <v>1</v>
      </c>
      <c r="B6" s="77" t="s">
        <v>73</v>
      </c>
      <c r="C6" s="77" t="s">
        <v>74</v>
      </c>
      <c r="D6" s="30">
        <v>40030</v>
      </c>
      <c r="E6" s="7"/>
      <c r="F6" s="28" t="s">
        <v>236</v>
      </c>
      <c r="G6" s="28" t="s">
        <v>478</v>
      </c>
      <c r="H6" s="80"/>
      <c r="I6" s="80"/>
      <c r="J6" s="80"/>
      <c r="K6" s="80"/>
      <c r="L6" s="148">
        <v>50</v>
      </c>
      <c r="M6" s="148">
        <v>50</v>
      </c>
      <c r="N6" s="148">
        <v>50</v>
      </c>
      <c r="O6" s="148">
        <v>50</v>
      </c>
      <c r="P6" s="148">
        <v>50</v>
      </c>
      <c r="Q6" s="148">
        <v>50</v>
      </c>
      <c r="R6" s="26"/>
      <c r="S6" s="26"/>
      <c r="T6" s="85">
        <f>SUM(L6:S6)</f>
        <v>300</v>
      </c>
      <c r="U6" s="73">
        <v>200</v>
      </c>
      <c r="Y6" s="1">
        <v>300</v>
      </c>
    </row>
    <row r="7" spans="1:27" s="44" customFormat="1" ht="33" x14ac:dyDescent="0.3">
      <c r="A7" s="71">
        <v>1</v>
      </c>
      <c r="B7" s="77" t="s">
        <v>53</v>
      </c>
      <c r="C7" s="77" t="s">
        <v>207</v>
      </c>
      <c r="D7" s="41">
        <v>40041</v>
      </c>
      <c r="E7" s="40"/>
      <c r="F7" s="42" t="s">
        <v>208</v>
      </c>
      <c r="G7" s="42" t="s">
        <v>209</v>
      </c>
      <c r="H7" s="80"/>
      <c r="I7" s="80"/>
      <c r="J7" s="80"/>
      <c r="K7" s="80"/>
      <c r="L7" s="140">
        <v>50</v>
      </c>
      <c r="M7" s="140">
        <v>50</v>
      </c>
      <c r="N7" s="140">
        <v>50</v>
      </c>
      <c r="O7" s="140">
        <v>50</v>
      </c>
      <c r="P7" s="43"/>
      <c r="Q7" s="43"/>
      <c r="R7" s="43"/>
      <c r="S7" s="43"/>
      <c r="T7" s="85">
        <f>SUM(L7:S7)</f>
        <v>200</v>
      </c>
      <c r="U7" s="73">
        <v>200</v>
      </c>
      <c r="Y7" s="73">
        <v>200</v>
      </c>
    </row>
    <row r="8" spans="1:27" ht="17.45" customHeight="1" x14ac:dyDescent="0.3">
      <c r="A8" s="71">
        <v>1</v>
      </c>
      <c r="B8" s="77" t="s">
        <v>75</v>
      </c>
      <c r="C8" s="77" t="s">
        <v>76</v>
      </c>
      <c r="D8" s="30">
        <v>40329</v>
      </c>
      <c r="E8" s="7"/>
      <c r="F8" s="28" t="s">
        <v>262</v>
      </c>
      <c r="G8" s="28">
        <v>46345995</v>
      </c>
      <c r="H8" s="125">
        <v>50</v>
      </c>
      <c r="I8" s="125">
        <v>50</v>
      </c>
      <c r="J8" s="121">
        <v>50</v>
      </c>
      <c r="K8" s="131">
        <v>50</v>
      </c>
      <c r="L8" s="147">
        <v>50</v>
      </c>
      <c r="M8" s="26"/>
      <c r="N8" s="26"/>
      <c r="O8" s="26"/>
      <c r="P8" s="26"/>
      <c r="Q8" s="26"/>
      <c r="R8" s="26"/>
      <c r="S8" s="26"/>
      <c r="T8" s="85">
        <f t="shared" ref="T8:T13" si="0">SUM(H8:S8)</f>
        <v>250</v>
      </c>
      <c r="U8" s="73"/>
      <c r="V8" s="1">
        <v>50</v>
      </c>
      <c r="W8" s="1">
        <v>50</v>
      </c>
      <c r="Y8" s="1">
        <v>50</v>
      </c>
    </row>
    <row r="9" spans="1:27" ht="17.45" customHeight="1" x14ac:dyDescent="0.3">
      <c r="A9" s="71">
        <v>1</v>
      </c>
      <c r="B9" s="77" t="s">
        <v>155</v>
      </c>
      <c r="C9" s="77" t="s">
        <v>154</v>
      </c>
      <c r="D9" s="34">
        <v>39539</v>
      </c>
      <c r="E9" s="7"/>
      <c r="F9" s="28" t="s">
        <v>152</v>
      </c>
      <c r="G9" s="28" t="s">
        <v>153</v>
      </c>
      <c r="H9" s="125">
        <v>50</v>
      </c>
      <c r="I9" s="125">
        <v>50</v>
      </c>
      <c r="J9" s="121">
        <v>50</v>
      </c>
      <c r="K9" s="121">
        <v>50</v>
      </c>
      <c r="L9" s="133">
        <v>50</v>
      </c>
      <c r="M9" s="173">
        <v>50</v>
      </c>
      <c r="N9" s="173">
        <v>50</v>
      </c>
      <c r="O9" s="26"/>
      <c r="P9" s="26"/>
      <c r="Q9" s="26"/>
      <c r="R9" s="26"/>
      <c r="S9" s="26"/>
      <c r="T9" s="85">
        <f t="shared" si="0"/>
        <v>350</v>
      </c>
      <c r="U9" s="73"/>
      <c r="V9" s="1">
        <v>100</v>
      </c>
      <c r="X9" s="1">
        <v>50</v>
      </c>
      <c r="Z9" s="1">
        <v>100</v>
      </c>
    </row>
    <row r="10" spans="1:27" ht="17.45" customHeight="1" x14ac:dyDescent="0.3">
      <c r="A10" s="71">
        <v>1</v>
      </c>
      <c r="B10" s="77" t="s">
        <v>312</v>
      </c>
      <c r="C10" s="77" t="s">
        <v>313</v>
      </c>
      <c r="D10" s="30">
        <v>39997</v>
      </c>
      <c r="E10" s="7"/>
      <c r="F10" s="28" t="s">
        <v>459</v>
      </c>
      <c r="G10" s="28" t="s">
        <v>314</v>
      </c>
      <c r="H10" s="125">
        <v>50</v>
      </c>
      <c r="I10" s="125">
        <v>50</v>
      </c>
      <c r="J10" s="128">
        <v>50</v>
      </c>
      <c r="K10" s="26"/>
      <c r="L10" s="26"/>
      <c r="M10" s="26"/>
      <c r="N10" s="26"/>
      <c r="O10" s="26"/>
      <c r="P10" s="26"/>
      <c r="Q10" s="26"/>
      <c r="R10" s="26"/>
      <c r="S10" s="26"/>
      <c r="T10" s="85">
        <f t="shared" si="0"/>
        <v>150</v>
      </c>
      <c r="U10" s="73"/>
      <c r="W10" s="1">
        <v>50</v>
      </c>
    </row>
    <row r="11" spans="1:27" ht="17.45" customHeight="1" x14ac:dyDescent="0.3">
      <c r="A11" s="71">
        <v>1</v>
      </c>
      <c r="B11" s="77" t="s">
        <v>195</v>
      </c>
      <c r="C11" s="77" t="s">
        <v>243</v>
      </c>
      <c r="D11" s="30">
        <v>40191</v>
      </c>
      <c r="E11" s="7">
        <v>50</v>
      </c>
      <c r="F11" s="28" t="s">
        <v>460</v>
      </c>
      <c r="G11" s="28">
        <v>45913845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85">
        <f t="shared" si="0"/>
        <v>0</v>
      </c>
      <c r="U11" s="73"/>
    </row>
    <row r="12" spans="1:27" ht="17.45" customHeight="1" x14ac:dyDescent="0.3">
      <c r="A12" s="71">
        <v>1</v>
      </c>
      <c r="B12" s="77" t="s">
        <v>205</v>
      </c>
      <c r="C12" s="77" t="s">
        <v>78</v>
      </c>
      <c r="D12" s="30">
        <v>40363</v>
      </c>
      <c r="E12" s="7">
        <v>50</v>
      </c>
      <c r="F12" s="28" t="s">
        <v>206</v>
      </c>
      <c r="G12" s="28">
        <v>50121187</v>
      </c>
      <c r="H12" s="128">
        <v>50</v>
      </c>
      <c r="I12" s="128">
        <v>50</v>
      </c>
      <c r="J12" s="128">
        <v>50</v>
      </c>
      <c r="K12" s="128">
        <v>50</v>
      </c>
      <c r="L12" s="128">
        <v>50</v>
      </c>
      <c r="M12" s="140">
        <v>50</v>
      </c>
      <c r="N12" s="167">
        <v>50</v>
      </c>
      <c r="O12" s="26">
        <v>50</v>
      </c>
      <c r="P12" s="26">
        <v>50</v>
      </c>
      <c r="Q12" s="26"/>
      <c r="R12" s="26"/>
      <c r="S12" s="26"/>
      <c r="T12" s="85">
        <f t="shared" si="0"/>
        <v>450</v>
      </c>
      <c r="U12" s="73"/>
      <c r="W12" s="1">
        <v>250</v>
      </c>
      <c r="Y12" s="1">
        <v>50</v>
      </c>
      <c r="Z12" s="1">
        <v>50</v>
      </c>
      <c r="AA12" s="1">
        <v>100</v>
      </c>
    </row>
    <row r="13" spans="1:27" ht="17.45" customHeight="1" x14ac:dyDescent="0.3">
      <c r="A13" s="71">
        <v>1</v>
      </c>
      <c r="B13" s="77" t="s">
        <v>79</v>
      </c>
      <c r="C13" s="77" t="s">
        <v>80</v>
      </c>
      <c r="D13" s="30">
        <v>40373</v>
      </c>
      <c r="E13" s="7"/>
      <c r="F13" s="28" t="s">
        <v>319</v>
      </c>
      <c r="G13" s="28"/>
      <c r="H13" s="128">
        <v>50</v>
      </c>
      <c r="I13" s="128">
        <v>50</v>
      </c>
      <c r="J13" s="128">
        <v>50</v>
      </c>
      <c r="K13" s="128">
        <v>50</v>
      </c>
      <c r="L13" s="148">
        <v>50</v>
      </c>
      <c r="M13" s="148">
        <v>50</v>
      </c>
      <c r="N13" s="26"/>
      <c r="O13" s="26"/>
      <c r="P13" s="26"/>
      <c r="Q13" s="26"/>
      <c r="R13" s="26"/>
      <c r="S13" s="26"/>
      <c r="T13" s="85">
        <f t="shared" si="0"/>
        <v>300</v>
      </c>
      <c r="U13" s="73"/>
      <c r="W13" s="1">
        <v>200</v>
      </c>
      <c r="Y13" s="1">
        <v>100</v>
      </c>
    </row>
    <row r="14" spans="1:27" ht="17.45" customHeight="1" x14ac:dyDescent="0.3">
      <c r="A14" s="71">
        <v>1</v>
      </c>
      <c r="B14" s="77" t="s">
        <v>274</v>
      </c>
      <c r="C14" s="77" t="s">
        <v>287</v>
      </c>
      <c r="D14" s="30"/>
      <c r="E14" s="7"/>
      <c r="F14" s="28"/>
      <c r="G14" s="28"/>
      <c r="H14" s="81"/>
      <c r="I14" s="125">
        <v>50</v>
      </c>
      <c r="J14" s="121">
        <v>50</v>
      </c>
      <c r="K14" s="128">
        <v>50</v>
      </c>
      <c r="L14" s="133">
        <v>50</v>
      </c>
      <c r="M14" s="147">
        <v>50</v>
      </c>
      <c r="N14" s="167">
        <v>50</v>
      </c>
      <c r="O14" s="26">
        <v>50</v>
      </c>
      <c r="P14" s="26"/>
      <c r="Q14" s="26"/>
      <c r="R14" s="26"/>
      <c r="S14" s="26"/>
      <c r="T14" s="85">
        <f>SUM(I14:S14)</f>
        <v>350</v>
      </c>
      <c r="U14" s="73">
        <v>50</v>
      </c>
      <c r="V14" s="1">
        <v>50</v>
      </c>
      <c r="W14" s="1">
        <v>50</v>
      </c>
      <c r="X14" s="1">
        <v>50</v>
      </c>
      <c r="Y14" s="1">
        <v>50</v>
      </c>
      <c r="Z14" s="1">
        <v>50</v>
      </c>
      <c r="AA14" s="1">
        <v>50</v>
      </c>
    </row>
    <row r="15" spans="1:27" ht="17.45" customHeight="1" x14ac:dyDescent="0.3">
      <c r="A15" s="71">
        <v>1</v>
      </c>
      <c r="B15" s="77" t="s">
        <v>197</v>
      </c>
      <c r="C15" s="77" t="s">
        <v>81</v>
      </c>
      <c r="D15" s="30">
        <v>39821</v>
      </c>
      <c r="E15" s="7">
        <v>50</v>
      </c>
      <c r="F15" s="28" t="s">
        <v>196</v>
      </c>
      <c r="G15" s="28">
        <v>45913845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85">
        <f t="shared" ref="T15:T21" si="1">SUM(H15:S15)</f>
        <v>0</v>
      </c>
      <c r="U15" s="73"/>
    </row>
    <row r="16" spans="1:27" ht="17.45" customHeight="1" x14ac:dyDescent="0.3">
      <c r="A16" s="71">
        <v>1</v>
      </c>
      <c r="B16" s="77" t="s">
        <v>82</v>
      </c>
      <c r="C16" s="82" t="s">
        <v>216</v>
      </c>
      <c r="D16" s="34">
        <v>39754</v>
      </c>
      <c r="E16" s="7">
        <v>50</v>
      </c>
      <c r="F16" s="28" t="s">
        <v>217</v>
      </c>
      <c r="G16" s="28" t="s">
        <v>218</v>
      </c>
      <c r="H16" s="125">
        <v>50</v>
      </c>
      <c r="I16" s="125">
        <v>50</v>
      </c>
      <c r="J16" s="125">
        <v>50</v>
      </c>
      <c r="K16" s="125">
        <v>50</v>
      </c>
      <c r="L16" s="125">
        <v>50</v>
      </c>
      <c r="M16" s="147">
        <v>50</v>
      </c>
      <c r="N16" s="147">
        <v>50</v>
      </c>
      <c r="O16" s="26">
        <v>50</v>
      </c>
      <c r="P16" s="26">
        <v>50</v>
      </c>
      <c r="Q16" s="26">
        <v>50</v>
      </c>
      <c r="R16" s="26"/>
      <c r="S16" s="26"/>
      <c r="T16" s="85">
        <f t="shared" si="1"/>
        <v>500</v>
      </c>
      <c r="U16" s="73"/>
      <c r="Y16" s="1">
        <v>100</v>
      </c>
      <c r="AA16" s="1">
        <v>150</v>
      </c>
    </row>
    <row r="17" spans="1:27" ht="17.45" customHeight="1" x14ac:dyDescent="0.3">
      <c r="A17" s="71">
        <v>1</v>
      </c>
      <c r="B17" s="77" t="s">
        <v>83</v>
      </c>
      <c r="C17" s="77" t="s">
        <v>84</v>
      </c>
      <c r="D17" s="65">
        <v>39610</v>
      </c>
      <c r="E17" s="7"/>
      <c r="F17" s="28"/>
      <c r="G17" s="28"/>
      <c r="H17" s="125">
        <v>50</v>
      </c>
      <c r="I17" s="125">
        <v>50</v>
      </c>
      <c r="J17" s="121">
        <v>50</v>
      </c>
      <c r="K17" s="121">
        <v>50</v>
      </c>
      <c r="L17" s="133">
        <v>50</v>
      </c>
      <c r="M17" s="133">
        <v>50</v>
      </c>
      <c r="N17" s="177">
        <v>50</v>
      </c>
      <c r="O17" s="177">
        <v>50</v>
      </c>
      <c r="P17" s="26"/>
      <c r="Q17" s="26"/>
      <c r="R17" s="26"/>
      <c r="S17" s="26"/>
      <c r="T17" s="85">
        <f t="shared" si="1"/>
        <v>400</v>
      </c>
      <c r="U17" s="73"/>
      <c r="V17" s="1">
        <v>100</v>
      </c>
      <c r="X17" s="1">
        <v>100</v>
      </c>
      <c r="AA17" s="1">
        <v>100</v>
      </c>
    </row>
    <row r="18" spans="1:27" ht="17.45" customHeight="1" x14ac:dyDescent="0.3">
      <c r="A18" s="71">
        <v>1</v>
      </c>
      <c r="B18" s="77" t="s">
        <v>85</v>
      </c>
      <c r="C18" s="77" t="s">
        <v>86</v>
      </c>
      <c r="D18" s="9"/>
      <c r="E18" s="7"/>
      <c r="F18" s="28" t="s">
        <v>321</v>
      </c>
      <c r="G18" s="28" t="s">
        <v>320</v>
      </c>
      <c r="H18" s="125">
        <v>50</v>
      </c>
      <c r="I18" s="125">
        <v>50</v>
      </c>
      <c r="J18" s="121">
        <v>50</v>
      </c>
      <c r="K18" s="133">
        <v>50</v>
      </c>
      <c r="L18" s="133">
        <v>50</v>
      </c>
      <c r="M18" s="26"/>
      <c r="N18" s="26"/>
      <c r="O18" s="26"/>
      <c r="P18" s="26"/>
      <c r="Q18" s="26"/>
      <c r="R18" s="26"/>
      <c r="S18" s="26"/>
      <c r="T18" s="85">
        <f t="shared" si="1"/>
        <v>250</v>
      </c>
      <c r="U18" s="73"/>
      <c r="V18" s="1">
        <v>50</v>
      </c>
      <c r="X18" s="1">
        <v>100</v>
      </c>
    </row>
    <row r="19" spans="1:27" ht="17.45" customHeight="1" x14ac:dyDescent="0.3">
      <c r="A19" s="71">
        <v>1</v>
      </c>
      <c r="B19" s="77" t="s">
        <v>87</v>
      </c>
      <c r="C19" s="82" t="s">
        <v>244</v>
      </c>
      <c r="D19" s="34">
        <v>39963</v>
      </c>
      <c r="E19" s="7">
        <v>50</v>
      </c>
      <c r="F19" s="28" t="s">
        <v>204</v>
      </c>
      <c r="G19" s="28">
        <v>43393260</v>
      </c>
      <c r="H19" s="125">
        <v>50</v>
      </c>
      <c r="I19" s="125">
        <v>50</v>
      </c>
      <c r="J19" s="121">
        <v>50</v>
      </c>
      <c r="K19" s="121">
        <v>50</v>
      </c>
      <c r="L19" s="147">
        <v>50</v>
      </c>
      <c r="M19" s="167">
        <v>50</v>
      </c>
      <c r="N19" s="26">
        <v>50</v>
      </c>
      <c r="O19" s="26"/>
      <c r="P19" s="26"/>
      <c r="Q19" s="26"/>
      <c r="R19" s="26"/>
      <c r="S19" s="26"/>
      <c r="T19" s="85">
        <f t="shared" si="1"/>
        <v>350</v>
      </c>
      <c r="U19" s="73"/>
      <c r="V19" s="1">
        <v>100</v>
      </c>
      <c r="Y19" s="1">
        <v>50</v>
      </c>
      <c r="Z19" s="1">
        <v>50</v>
      </c>
      <c r="AA19" s="1">
        <v>50</v>
      </c>
    </row>
    <row r="20" spans="1:27" ht="17.45" customHeight="1" x14ac:dyDescent="0.3">
      <c r="A20" s="71">
        <v>1</v>
      </c>
      <c r="B20" s="77" t="s">
        <v>88</v>
      </c>
      <c r="C20" s="77" t="s">
        <v>210</v>
      </c>
      <c r="D20" s="34">
        <v>39849</v>
      </c>
      <c r="E20" s="7"/>
      <c r="F20" s="28" t="s">
        <v>211</v>
      </c>
      <c r="G20" s="28" t="s">
        <v>212</v>
      </c>
      <c r="H20" s="125">
        <v>50</v>
      </c>
      <c r="I20" s="125">
        <v>50</v>
      </c>
      <c r="J20" s="121">
        <v>50</v>
      </c>
      <c r="K20" s="133">
        <v>50</v>
      </c>
      <c r="L20" s="133">
        <v>50</v>
      </c>
      <c r="M20" s="148">
        <v>50</v>
      </c>
      <c r="N20" s="173">
        <v>50</v>
      </c>
      <c r="O20" s="173">
        <v>50</v>
      </c>
      <c r="P20" s="26"/>
      <c r="Q20" s="26"/>
      <c r="R20" s="26"/>
      <c r="S20" s="26"/>
      <c r="T20" s="85">
        <f t="shared" si="1"/>
        <v>400</v>
      </c>
      <c r="U20" s="73"/>
      <c r="V20" s="1">
        <v>50</v>
      </c>
      <c r="X20" s="1">
        <v>100</v>
      </c>
      <c r="Y20" s="1">
        <v>50</v>
      </c>
      <c r="Z20" s="1">
        <v>100</v>
      </c>
    </row>
    <row r="21" spans="1:27" ht="17.45" customHeight="1" x14ac:dyDescent="0.3">
      <c r="A21" s="71">
        <v>1</v>
      </c>
      <c r="B21" s="77" t="s">
        <v>132</v>
      </c>
      <c r="C21" s="77" t="s">
        <v>131</v>
      </c>
      <c r="D21" s="34">
        <v>39724</v>
      </c>
      <c r="E21" s="7">
        <v>50</v>
      </c>
      <c r="F21" s="28" t="s">
        <v>133</v>
      </c>
      <c r="G21" s="28" t="s">
        <v>134</v>
      </c>
      <c r="H21" s="128">
        <v>50</v>
      </c>
      <c r="I21" s="128">
        <v>50</v>
      </c>
      <c r="J21" s="173">
        <v>50</v>
      </c>
      <c r="K21" s="173">
        <v>50</v>
      </c>
      <c r="L21" s="173">
        <v>50</v>
      </c>
      <c r="M21" s="173">
        <v>50</v>
      </c>
      <c r="N21" s="173">
        <v>50</v>
      </c>
      <c r="O21" s="26">
        <v>50</v>
      </c>
      <c r="P21" s="26"/>
      <c r="Q21" s="26"/>
      <c r="R21" s="26"/>
      <c r="S21" s="26"/>
      <c r="T21" s="85">
        <f t="shared" si="1"/>
        <v>400</v>
      </c>
      <c r="U21" s="73"/>
      <c r="W21" s="1">
        <v>100</v>
      </c>
      <c r="Z21" s="1">
        <v>250</v>
      </c>
      <c r="AA21" s="1">
        <v>50</v>
      </c>
    </row>
    <row r="22" spans="1:27" ht="17.45" customHeight="1" x14ac:dyDescent="0.3">
      <c r="A22" s="71">
        <v>1</v>
      </c>
      <c r="B22" s="77" t="s">
        <v>89</v>
      </c>
      <c r="C22" s="77" t="s">
        <v>201</v>
      </c>
      <c r="D22" s="30">
        <v>39826</v>
      </c>
      <c r="E22" s="7"/>
      <c r="F22" s="28" t="s">
        <v>202</v>
      </c>
      <c r="G22" s="28">
        <v>41343873</v>
      </c>
      <c r="H22" s="81"/>
      <c r="I22" s="121">
        <v>50</v>
      </c>
      <c r="J22" s="121">
        <v>50</v>
      </c>
      <c r="K22" s="121">
        <v>50</v>
      </c>
      <c r="L22" s="121">
        <v>50</v>
      </c>
      <c r="M22" s="148">
        <v>50</v>
      </c>
      <c r="N22" s="148">
        <v>50</v>
      </c>
      <c r="O22" s="26"/>
      <c r="P22" s="26"/>
      <c r="Q22" s="26"/>
      <c r="R22" s="26"/>
      <c r="S22" s="26"/>
      <c r="T22" s="85">
        <f>SUM(I22:S22)</f>
        <v>300</v>
      </c>
      <c r="U22" s="73">
        <v>50</v>
      </c>
      <c r="V22" s="1">
        <v>100</v>
      </c>
      <c r="Y22" s="1">
        <v>100</v>
      </c>
    </row>
    <row r="23" spans="1:27" s="29" customFormat="1" ht="17.45" customHeight="1" x14ac:dyDescent="0.2">
      <c r="A23" s="83">
        <f>SUM(A5:A22)</f>
        <v>18</v>
      </c>
      <c r="B23" s="84"/>
      <c r="C23" s="84"/>
      <c r="D23" s="51"/>
      <c r="E23" s="3"/>
      <c r="F23" s="52"/>
      <c r="G23" s="52"/>
      <c r="H23" s="46">
        <f>SUM(H5:H22)</f>
        <v>550</v>
      </c>
      <c r="I23" s="46">
        <f t="shared" ref="I23:S23" si="2">SUM(I5:I22)</f>
        <v>650</v>
      </c>
      <c r="J23" s="46">
        <f t="shared" si="2"/>
        <v>650</v>
      </c>
      <c r="K23" s="46">
        <f t="shared" si="2"/>
        <v>600</v>
      </c>
      <c r="L23" s="46">
        <f t="shared" si="2"/>
        <v>700</v>
      </c>
      <c r="M23" s="46">
        <f t="shared" si="2"/>
        <v>600</v>
      </c>
      <c r="N23" s="46">
        <f t="shared" si="2"/>
        <v>550</v>
      </c>
      <c r="O23" s="46">
        <f t="shared" si="2"/>
        <v>400</v>
      </c>
      <c r="P23" s="46">
        <f t="shared" si="2"/>
        <v>150</v>
      </c>
      <c r="Q23" s="46">
        <f t="shared" si="2"/>
        <v>100</v>
      </c>
      <c r="R23" s="46">
        <f t="shared" si="2"/>
        <v>0</v>
      </c>
      <c r="S23" s="46">
        <f t="shared" si="2"/>
        <v>0</v>
      </c>
      <c r="T23" s="86">
        <f>SUM(T5:T20)</f>
        <v>4250</v>
      </c>
      <c r="U23" s="74">
        <f t="shared" ref="U23:Y23" si="3">SUM(U5:U22)</f>
        <v>1000</v>
      </c>
      <c r="V23" s="29">
        <f t="shared" si="3"/>
        <v>600</v>
      </c>
      <c r="W23" s="29">
        <f t="shared" si="3"/>
        <v>700</v>
      </c>
      <c r="X23" s="29">
        <f t="shared" si="3"/>
        <v>400</v>
      </c>
      <c r="Y23" s="29">
        <f t="shared" si="3"/>
        <v>1050</v>
      </c>
      <c r="Z23" s="29">
        <f>SUM(Z5:Z22)</f>
        <v>600</v>
      </c>
      <c r="AA23" s="29">
        <f>SUM(AA5:AA22)</f>
        <v>500</v>
      </c>
    </row>
    <row r="24" spans="1:27" ht="22.9" customHeight="1" x14ac:dyDescent="0.3">
      <c r="A24" s="17"/>
      <c r="B24" s="37"/>
      <c r="C24" s="37"/>
      <c r="D24" s="19"/>
      <c r="E24" s="20"/>
      <c r="F24" s="39"/>
    </row>
    <row r="25" spans="1:27" ht="22.9" customHeight="1" x14ac:dyDescent="0.3">
      <c r="A25" s="17"/>
      <c r="B25" s="37"/>
      <c r="C25" s="37"/>
      <c r="D25" s="19"/>
      <c r="E25" s="20"/>
      <c r="F25" s="39"/>
    </row>
    <row r="26" spans="1:27" ht="22.9" customHeight="1" x14ac:dyDescent="0.3">
      <c r="A26" s="17"/>
      <c r="B26" s="37"/>
      <c r="C26" s="37"/>
      <c r="D26" s="19"/>
      <c r="E26" s="20"/>
      <c r="F26" s="39"/>
    </row>
    <row r="27" spans="1:27" ht="22.9" customHeight="1" x14ac:dyDescent="0.3">
      <c r="A27" s="17"/>
      <c r="B27" s="37"/>
      <c r="C27" s="37"/>
      <c r="D27" s="19"/>
      <c r="E27" s="20"/>
      <c r="F27" s="39"/>
    </row>
    <row r="28" spans="1:27" ht="22.9" customHeight="1" x14ac:dyDescent="0.3">
      <c r="A28" s="17"/>
      <c r="B28" s="37"/>
      <c r="C28" s="37"/>
      <c r="D28" s="19"/>
      <c r="E28" s="20"/>
      <c r="F28" s="39"/>
    </row>
    <row r="29" spans="1:27" ht="22.9" customHeight="1" x14ac:dyDescent="0.3">
      <c r="A29" s="17"/>
      <c r="B29" s="37"/>
      <c r="C29" s="37"/>
      <c r="D29" s="25"/>
      <c r="E29" s="20"/>
      <c r="F29" s="39"/>
    </row>
  </sheetData>
  <sortState xmlns:xlrd2="http://schemas.microsoft.com/office/spreadsheetml/2017/richdata2" ref="B5:T23">
    <sortCondition ref="B5:B23"/>
  </sortState>
  <mergeCells count="1">
    <mergeCell ref="H3:S3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AC0E-9D4B-4FEF-A300-88FA52F10B3D}">
  <dimension ref="A2:AA31"/>
  <sheetViews>
    <sheetView workbookViewId="0">
      <pane ySplit="4" topLeftCell="A5" activePane="bottomLeft" state="frozen"/>
      <selection pane="bottomLeft" activeCell="F13" sqref="F13"/>
    </sheetView>
  </sheetViews>
  <sheetFormatPr baseColWidth="10" defaultColWidth="11.5703125" defaultRowHeight="16.5" x14ac:dyDescent="0.3"/>
  <cols>
    <col min="1" max="1" width="5.5703125" style="2" customWidth="1"/>
    <col min="2" max="3" width="23.7109375" style="1" customWidth="1"/>
    <col min="4" max="4" width="25.42578125" style="2" customWidth="1"/>
    <col min="5" max="5" width="18.5703125" style="1" customWidth="1"/>
    <col min="6" max="6" width="32.7109375" style="1" customWidth="1"/>
    <col min="7" max="7" width="21.140625" style="1" customWidth="1"/>
    <col min="8" max="20" width="9.5703125" style="1" customWidth="1"/>
    <col min="21" max="21" width="12.140625" style="1" customWidth="1"/>
    <col min="22" max="25" width="11.5703125" style="1" customWidth="1"/>
    <col min="26" max="16384" width="11.5703125" style="1"/>
  </cols>
  <sheetData>
    <row r="2" spans="1:27" ht="17.25" x14ac:dyDescent="0.3">
      <c r="A2" s="15" t="s">
        <v>0</v>
      </c>
      <c r="B2" s="5"/>
      <c r="C2" s="5"/>
      <c r="D2" s="6"/>
      <c r="E2" s="5"/>
    </row>
    <row r="3" spans="1:27" ht="18.75" x14ac:dyDescent="0.3">
      <c r="A3" s="16" t="s">
        <v>168</v>
      </c>
      <c r="B3" s="5"/>
      <c r="C3" s="5"/>
      <c r="D3" s="6"/>
      <c r="E3" s="5"/>
      <c r="H3" s="184" t="s">
        <v>235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6"/>
    </row>
    <row r="4" spans="1:27" s="4" customFormat="1" ht="30.6" customHeight="1" x14ac:dyDescent="0.25">
      <c r="A4" s="13" t="s">
        <v>42</v>
      </c>
      <c r="B4" s="13" t="s">
        <v>39</v>
      </c>
      <c r="C4" s="13" t="s">
        <v>40</v>
      </c>
      <c r="D4" s="13" t="s">
        <v>108</v>
      </c>
      <c r="E4" s="13" t="s">
        <v>41</v>
      </c>
      <c r="F4" s="13" t="s">
        <v>104</v>
      </c>
      <c r="G4" s="13" t="s">
        <v>116</v>
      </c>
      <c r="H4" s="45" t="s">
        <v>222</v>
      </c>
      <c r="I4" s="45" t="s">
        <v>223</v>
      </c>
      <c r="J4" s="45" t="s">
        <v>224</v>
      </c>
      <c r="K4" s="45" t="s">
        <v>225</v>
      </c>
      <c r="L4" s="45" t="s">
        <v>226</v>
      </c>
      <c r="M4" s="45" t="s">
        <v>227</v>
      </c>
      <c r="N4" s="45" t="s">
        <v>228</v>
      </c>
      <c r="O4" s="45" t="s">
        <v>229</v>
      </c>
      <c r="P4" s="45" t="s">
        <v>230</v>
      </c>
      <c r="Q4" s="45" t="s">
        <v>231</v>
      </c>
      <c r="R4" s="45" t="s">
        <v>232</v>
      </c>
      <c r="S4" s="45" t="s">
        <v>233</v>
      </c>
      <c r="T4" s="3" t="s">
        <v>234</v>
      </c>
      <c r="U4" s="4" t="s">
        <v>342</v>
      </c>
      <c r="V4" s="123" t="s">
        <v>353</v>
      </c>
      <c r="W4" s="129" t="s">
        <v>356</v>
      </c>
      <c r="X4" s="135"/>
      <c r="Y4" s="159">
        <v>45839</v>
      </c>
      <c r="Z4" s="169"/>
      <c r="AA4" s="78" t="s">
        <v>471</v>
      </c>
    </row>
    <row r="5" spans="1:27" ht="18.600000000000001" customHeight="1" x14ac:dyDescent="0.3">
      <c r="A5" s="7">
        <v>1</v>
      </c>
      <c r="B5" s="32" t="s">
        <v>90</v>
      </c>
      <c r="C5" s="32" t="s">
        <v>91</v>
      </c>
      <c r="D5" s="30">
        <v>39141</v>
      </c>
      <c r="E5" s="7">
        <v>50</v>
      </c>
      <c r="F5" s="28" t="s">
        <v>272</v>
      </c>
      <c r="G5" s="85" t="s">
        <v>273</v>
      </c>
      <c r="H5" s="124">
        <v>50</v>
      </c>
      <c r="I5" s="124">
        <v>50</v>
      </c>
      <c r="J5" s="127">
        <v>50</v>
      </c>
      <c r="K5" s="127">
        <v>50</v>
      </c>
      <c r="L5" s="85">
        <v>50</v>
      </c>
      <c r="M5" s="85">
        <v>50</v>
      </c>
      <c r="N5" s="85"/>
      <c r="O5" s="85"/>
      <c r="P5" s="85"/>
      <c r="Q5" s="85"/>
      <c r="R5" s="85"/>
      <c r="S5" s="85"/>
      <c r="T5" s="85">
        <f>SUM(H5:S5)</f>
        <v>300</v>
      </c>
      <c r="U5" s="73"/>
      <c r="W5" s="1">
        <v>100</v>
      </c>
      <c r="AA5" s="1">
        <v>100</v>
      </c>
    </row>
    <row r="6" spans="1:27" ht="18.600000000000001" customHeight="1" x14ac:dyDescent="0.3">
      <c r="A6" s="7">
        <v>1</v>
      </c>
      <c r="B6" s="32" t="s">
        <v>92</v>
      </c>
      <c r="C6" s="32" t="s">
        <v>257</v>
      </c>
      <c r="D6" s="58">
        <v>39506</v>
      </c>
      <c r="E6" s="7">
        <v>25</v>
      </c>
      <c r="F6" s="28" t="s">
        <v>258</v>
      </c>
      <c r="G6" s="85" t="s">
        <v>259</v>
      </c>
      <c r="H6" s="124">
        <v>50</v>
      </c>
      <c r="I6" s="124">
        <v>50</v>
      </c>
      <c r="J6" s="124">
        <v>50</v>
      </c>
      <c r="K6" s="124">
        <v>50</v>
      </c>
      <c r="L6" s="124">
        <v>50</v>
      </c>
      <c r="M6" s="166">
        <v>50</v>
      </c>
      <c r="N6" s="166">
        <v>50</v>
      </c>
      <c r="O6" s="85"/>
      <c r="P6" s="85"/>
      <c r="Q6" s="85"/>
      <c r="R6" s="85"/>
      <c r="S6" s="85"/>
      <c r="T6" s="85">
        <f>SUM(H6:S6)</f>
        <v>350</v>
      </c>
      <c r="U6" s="73"/>
      <c r="Z6" s="1">
        <v>100</v>
      </c>
    </row>
    <row r="7" spans="1:27" ht="18.600000000000001" customHeight="1" x14ac:dyDescent="0.3">
      <c r="A7" s="7">
        <v>1</v>
      </c>
      <c r="B7" s="114" t="s">
        <v>332</v>
      </c>
      <c r="C7" s="114" t="s">
        <v>333</v>
      </c>
      <c r="D7" s="30">
        <v>38678</v>
      </c>
      <c r="E7" s="7"/>
      <c r="F7" s="189" t="s">
        <v>334</v>
      </c>
      <c r="G7" s="71" t="s">
        <v>335</v>
      </c>
      <c r="H7" s="108"/>
      <c r="I7" s="124">
        <v>50</v>
      </c>
      <c r="J7" s="126">
        <v>50</v>
      </c>
      <c r="K7" s="126">
        <v>50</v>
      </c>
      <c r="L7" s="132">
        <v>50</v>
      </c>
      <c r="M7" s="166">
        <v>50</v>
      </c>
      <c r="N7" s="166">
        <v>50</v>
      </c>
      <c r="O7" s="85">
        <v>50</v>
      </c>
      <c r="P7" s="85"/>
      <c r="Q7" s="85"/>
      <c r="R7" s="85"/>
      <c r="S7" s="85"/>
      <c r="T7" s="85">
        <f>SUM(I7:S7)</f>
        <v>350</v>
      </c>
      <c r="U7" s="73">
        <v>50</v>
      </c>
      <c r="W7" s="1">
        <v>100</v>
      </c>
      <c r="X7" s="1">
        <v>50</v>
      </c>
      <c r="Z7" s="1">
        <v>100</v>
      </c>
      <c r="AA7" s="1">
        <v>50</v>
      </c>
    </row>
    <row r="8" spans="1:27" ht="18.600000000000001" customHeight="1" x14ac:dyDescent="0.3">
      <c r="A8" s="7">
        <v>1</v>
      </c>
      <c r="B8" s="32" t="s">
        <v>52</v>
      </c>
      <c r="C8" s="32" t="s">
        <v>93</v>
      </c>
      <c r="D8" s="30">
        <v>38353</v>
      </c>
      <c r="E8" s="7">
        <v>50</v>
      </c>
      <c r="F8" s="28" t="s">
        <v>297</v>
      </c>
      <c r="G8" s="85">
        <v>59915415</v>
      </c>
      <c r="H8" s="124">
        <v>50</v>
      </c>
      <c r="I8" s="132">
        <v>50</v>
      </c>
      <c r="J8" s="132">
        <v>50</v>
      </c>
      <c r="K8" s="132">
        <v>50</v>
      </c>
      <c r="L8" s="132">
        <v>50</v>
      </c>
      <c r="M8" s="85"/>
      <c r="N8" s="85"/>
      <c r="O8" s="85"/>
      <c r="P8" s="85"/>
      <c r="Q8" s="85"/>
      <c r="R8" s="85"/>
      <c r="S8" s="85"/>
      <c r="T8" s="85">
        <f t="shared" ref="T8:T13" si="0">SUM(H8:S8)</f>
        <v>250</v>
      </c>
      <c r="U8" s="73"/>
      <c r="X8" s="1">
        <v>200</v>
      </c>
    </row>
    <row r="9" spans="1:27" ht="33" x14ac:dyDescent="0.3">
      <c r="A9" s="7">
        <v>1</v>
      </c>
      <c r="B9" s="32" t="s">
        <v>238</v>
      </c>
      <c r="C9" s="32" t="s">
        <v>94</v>
      </c>
      <c r="D9" s="30">
        <v>40302</v>
      </c>
      <c r="E9" s="7">
        <v>50</v>
      </c>
      <c r="F9" s="28" t="s">
        <v>239</v>
      </c>
      <c r="G9" s="90" t="s">
        <v>240</v>
      </c>
      <c r="H9" s="124">
        <v>50</v>
      </c>
      <c r="I9" s="124">
        <v>50</v>
      </c>
      <c r="J9" s="137">
        <v>50</v>
      </c>
      <c r="K9" s="137">
        <v>50</v>
      </c>
      <c r="L9" s="137">
        <v>50</v>
      </c>
      <c r="M9" s="137">
        <v>50</v>
      </c>
      <c r="N9" s="85">
        <v>50</v>
      </c>
      <c r="O9" s="85">
        <v>50</v>
      </c>
      <c r="P9" s="85"/>
      <c r="Q9" s="85"/>
      <c r="R9" s="85"/>
      <c r="S9" s="85"/>
      <c r="T9" s="85">
        <f t="shared" si="0"/>
        <v>400</v>
      </c>
      <c r="U9" s="73"/>
      <c r="Y9" s="1">
        <v>200</v>
      </c>
      <c r="AA9" s="1">
        <v>100</v>
      </c>
    </row>
    <row r="10" spans="1:27" ht="17.25" x14ac:dyDescent="0.3">
      <c r="A10" s="7">
        <v>1</v>
      </c>
      <c r="B10" s="32" t="s">
        <v>187</v>
      </c>
      <c r="C10" s="32" t="s">
        <v>188</v>
      </c>
      <c r="D10" s="30">
        <v>39345</v>
      </c>
      <c r="E10" s="7"/>
      <c r="F10" s="7" t="s">
        <v>189</v>
      </c>
      <c r="G10" s="71">
        <v>56975230</v>
      </c>
      <c r="H10" s="124">
        <v>50</v>
      </c>
      <c r="I10" s="124">
        <v>50</v>
      </c>
      <c r="J10" s="124">
        <v>50</v>
      </c>
      <c r="K10" s="124">
        <v>50</v>
      </c>
      <c r="L10" s="124">
        <v>50</v>
      </c>
      <c r="M10" s="124">
        <v>50</v>
      </c>
      <c r="N10" s="124">
        <v>50</v>
      </c>
      <c r="O10" s="124">
        <v>50</v>
      </c>
      <c r="P10" s="124">
        <v>50</v>
      </c>
      <c r="Q10" s="124">
        <v>50</v>
      </c>
      <c r="R10" s="85"/>
      <c r="S10" s="85"/>
      <c r="T10" s="85">
        <f t="shared" si="0"/>
        <v>500</v>
      </c>
      <c r="U10" s="73"/>
    </row>
    <row r="11" spans="1:27" ht="18.600000000000001" customHeight="1" x14ac:dyDescent="0.3">
      <c r="A11" s="7">
        <v>1</v>
      </c>
      <c r="B11" s="32" t="s">
        <v>298</v>
      </c>
      <c r="C11" s="32" t="s">
        <v>299</v>
      </c>
      <c r="D11" s="30">
        <v>39846</v>
      </c>
      <c r="E11" s="7"/>
      <c r="F11" s="7" t="s">
        <v>300</v>
      </c>
      <c r="G11" s="71" t="s">
        <v>301</v>
      </c>
      <c r="H11" s="124">
        <v>50</v>
      </c>
      <c r="I11" s="122">
        <v>50</v>
      </c>
      <c r="J11" s="122">
        <v>50</v>
      </c>
      <c r="K11" s="122">
        <v>50</v>
      </c>
      <c r="L11" s="122">
        <v>50</v>
      </c>
      <c r="M11" s="140">
        <v>50</v>
      </c>
      <c r="N11" s="140">
        <v>50</v>
      </c>
      <c r="O11" s="140">
        <v>50</v>
      </c>
      <c r="P11" s="140">
        <v>50</v>
      </c>
      <c r="Q11" s="140">
        <v>50</v>
      </c>
      <c r="R11" s="85"/>
      <c r="S11" s="85"/>
      <c r="T11" s="85">
        <f t="shared" si="0"/>
        <v>500</v>
      </c>
      <c r="U11" s="73"/>
      <c r="V11" s="1">
        <v>200</v>
      </c>
      <c r="Y11" s="1">
        <v>200</v>
      </c>
    </row>
    <row r="12" spans="1:27" ht="34.5" x14ac:dyDescent="0.3">
      <c r="A12" s="7">
        <v>1</v>
      </c>
      <c r="B12" s="32" t="s">
        <v>111</v>
      </c>
      <c r="C12" s="32" t="s">
        <v>109</v>
      </c>
      <c r="D12" s="30">
        <v>39872</v>
      </c>
      <c r="E12" s="7"/>
      <c r="F12" s="31" t="s">
        <v>110</v>
      </c>
      <c r="G12" s="85" t="s">
        <v>135</v>
      </c>
      <c r="H12" s="124">
        <v>50</v>
      </c>
      <c r="I12" s="124">
        <v>50</v>
      </c>
      <c r="J12" s="122">
        <v>50</v>
      </c>
      <c r="K12" s="132">
        <v>50</v>
      </c>
      <c r="L12" s="132">
        <v>50</v>
      </c>
      <c r="M12" s="139">
        <v>50</v>
      </c>
      <c r="N12" s="68">
        <v>50</v>
      </c>
      <c r="O12" s="68">
        <v>50</v>
      </c>
      <c r="P12" s="85"/>
      <c r="Q12" s="85"/>
      <c r="R12" s="85"/>
      <c r="S12" s="85"/>
      <c r="T12" s="85">
        <f t="shared" si="0"/>
        <v>400</v>
      </c>
      <c r="U12" s="73"/>
      <c r="V12" s="1">
        <v>50</v>
      </c>
      <c r="X12" s="1">
        <v>100</v>
      </c>
      <c r="Y12" s="1">
        <v>50</v>
      </c>
      <c r="AA12" s="1">
        <v>100</v>
      </c>
    </row>
    <row r="13" spans="1:27" ht="18.600000000000001" customHeight="1" x14ac:dyDescent="0.3">
      <c r="A13" s="7">
        <v>1</v>
      </c>
      <c r="B13" s="32" t="s">
        <v>25</v>
      </c>
      <c r="C13" s="32" t="s">
        <v>267</v>
      </c>
      <c r="D13" s="34">
        <v>39733</v>
      </c>
      <c r="E13" s="7"/>
      <c r="F13" s="28" t="s">
        <v>268</v>
      </c>
      <c r="G13" s="85">
        <v>35891672</v>
      </c>
      <c r="H13" s="124">
        <v>50</v>
      </c>
      <c r="I13" s="124">
        <v>50</v>
      </c>
      <c r="J13" s="122">
        <v>50</v>
      </c>
      <c r="K13" s="132">
        <v>50</v>
      </c>
      <c r="L13" s="85">
        <v>50</v>
      </c>
      <c r="M13" s="85">
        <v>50</v>
      </c>
      <c r="N13" s="85">
        <v>50</v>
      </c>
      <c r="O13" s="85">
        <v>50</v>
      </c>
      <c r="P13" s="85"/>
      <c r="Q13" s="85"/>
      <c r="R13" s="85"/>
      <c r="S13" s="85"/>
      <c r="T13" s="85">
        <f t="shared" si="0"/>
        <v>400</v>
      </c>
      <c r="U13" s="73"/>
      <c r="V13" s="1">
        <v>50</v>
      </c>
      <c r="X13" s="1">
        <v>50</v>
      </c>
      <c r="AA13" s="1">
        <v>200</v>
      </c>
    </row>
    <row r="14" spans="1:27" ht="18.600000000000001" customHeight="1" x14ac:dyDescent="0.3">
      <c r="A14" s="7">
        <v>1</v>
      </c>
      <c r="B14" s="114" t="s">
        <v>322</v>
      </c>
      <c r="C14" s="114" t="s">
        <v>323</v>
      </c>
      <c r="D14" s="30">
        <v>39328</v>
      </c>
      <c r="E14" s="7"/>
      <c r="F14" s="189" t="s">
        <v>324</v>
      </c>
      <c r="G14" s="71" t="s">
        <v>325</v>
      </c>
      <c r="H14" s="108"/>
      <c r="I14" s="124">
        <v>50</v>
      </c>
      <c r="J14" s="122">
        <v>50</v>
      </c>
      <c r="K14" s="126">
        <v>50</v>
      </c>
      <c r="L14" s="132">
        <v>50</v>
      </c>
      <c r="M14" s="136">
        <v>50</v>
      </c>
      <c r="N14" s="166">
        <v>50</v>
      </c>
      <c r="O14" s="85">
        <v>50</v>
      </c>
      <c r="P14" s="85"/>
      <c r="Q14" s="85"/>
      <c r="R14" s="85"/>
      <c r="S14" s="85"/>
      <c r="T14" s="85">
        <f>SUM(I14:S14)</f>
        <v>350</v>
      </c>
      <c r="U14" s="73">
        <v>50</v>
      </c>
      <c r="V14" s="1">
        <v>50</v>
      </c>
      <c r="W14" s="1">
        <v>50</v>
      </c>
      <c r="X14" s="1">
        <v>50</v>
      </c>
      <c r="Y14" s="1">
        <v>50</v>
      </c>
      <c r="Z14" s="1">
        <v>50</v>
      </c>
      <c r="AA14" s="1">
        <v>50</v>
      </c>
    </row>
    <row r="15" spans="1:27" ht="18.600000000000001" customHeight="1" x14ac:dyDescent="0.3">
      <c r="A15" s="7">
        <v>1</v>
      </c>
      <c r="B15" s="114" t="s">
        <v>308</v>
      </c>
      <c r="C15" s="114" t="s">
        <v>309</v>
      </c>
      <c r="D15" s="30">
        <v>33923</v>
      </c>
      <c r="E15" s="7"/>
      <c r="F15" s="189" t="s">
        <v>310</v>
      </c>
      <c r="G15" s="71" t="s">
        <v>311</v>
      </c>
      <c r="H15" s="108"/>
      <c r="I15" s="124">
        <v>50</v>
      </c>
      <c r="J15" s="122">
        <v>50</v>
      </c>
      <c r="K15" s="126">
        <v>50</v>
      </c>
      <c r="L15" s="85"/>
      <c r="M15" s="85"/>
      <c r="N15" s="85"/>
      <c r="O15" s="85"/>
      <c r="P15" s="85"/>
      <c r="Q15" s="85"/>
      <c r="R15" s="85"/>
      <c r="S15" s="85"/>
      <c r="T15" s="85">
        <f>SUM(I15:S15)</f>
        <v>150</v>
      </c>
      <c r="U15" s="73">
        <v>50</v>
      </c>
      <c r="V15" s="1">
        <v>50</v>
      </c>
      <c r="W15" s="1">
        <v>50</v>
      </c>
    </row>
    <row r="16" spans="1:27" ht="18.600000000000001" customHeight="1" x14ac:dyDescent="0.3">
      <c r="A16" s="7">
        <v>1</v>
      </c>
      <c r="B16" s="114" t="s">
        <v>326</v>
      </c>
      <c r="C16" s="114" t="s">
        <v>327</v>
      </c>
      <c r="D16" s="30">
        <v>39648</v>
      </c>
      <c r="E16" s="7"/>
      <c r="F16" s="189" t="s">
        <v>328</v>
      </c>
      <c r="G16" s="71" t="s">
        <v>329</v>
      </c>
      <c r="H16" s="85">
        <v>50</v>
      </c>
      <c r="I16" s="122">
        <v>50</v>
      </c>
      <c r="J16" s="122">
        <v>50</v>
      </c>
      <c r="K16" s="126">
        <v>50</v>
      </c>
      <c r="L16" s="139">
        <v>50</v>
      </c>
      <c r="M16" s="139">
        <v>50</v>
      </c>
      <c r="N16" s="85">
        <v>50</v>
      </c>
      <c r="O16" s="85">
        <v>50</v>
      </c>
      <c r="P16" s="85"/>
      <c r="Q16" s="85"/>
      <c r="R16" s="85"/>
      <c r="S16" s="85"/>
      <c r="T16" s="85">
        <f>SUM(H16:S16)</f>
        <v>400</v>
      </c>
      <c r="U16" s="73"/>
      <c r="V16" s="1">
        <v>100</v>
      </c>
      <c r="W16" s="1">
        <v>50</v>
      </c>
      <c r="Y16" s="1">
        <v>100</v>
      </c>
      <c r="AA16" s="1">
        <v>100</v>
      </c>
    </row>
    <row r="17" spans="1:27" s="29" customFormat="1" ht="18.600000000000001" customHeight="1" x14ac:dyDescent="0.2">
      <c r="A17" s="3">
        <f>SUM(A5:A16)</f>
        <v>12</v>
      </c>
      <c r="B17" s="53"/>
      <c r="C17" s="53"/>
      <c r="D17" s="53"/>
      <c r="E17" s="3"/>
      <c r="F17" s="47"/>
      <c r="G17" s="96"/>
      <c r="H17" s="96">
        <f>SUM(H5:H16)</f>
        <v>450</v>
      </c>
      <c r="I17" s="96">
        <f t="shared" ref="I17:S17" si="1">SUM(I5:I16)</f>
        <v>600</v>
      </c>
      <c r="J17" s="96">
        <f t="shared" si="1"/>
        <v>600</v>
      </c>
      <c r="K17" s="96">
        <f t="shared" si="1"/>
        <v>600</v>
      </c>
      <c r="L17" s="96">
        <f t="shared" si="1"/>
        <v>550</v>
      </c>
      <c r="M17" s="96">
        <f t="shared" si="1"/>
        <v>500</v>
      </c>
      <c r="N17" s="96">
        <f t="shared" si="1"/>
        <v>450</v>
      </c>
      <c r="O17" s="96">
        <f t="shared" si="1"/>
        <v>400</v>
      </c>
      <c r="P17" s="96">
        <f t="shared" si="1"/>
        <v>100</v>
      </c>
      <c r="Q17" s="96">
        <f t="shared" si="1"/>
        <v>100</v>
      </c>
      <c r="R17" s="96">
        <f t="shared" si="1"/>
        <v>0</v>
      </c>
      <c r="S17" s="96">
        <f t="shared" si="1"/>
        <v>0</v>
      </c>
      <c r="T17" s="96">
        <f t="shared" ref="T17:Y17" si="2">SUM(T5:T16)</f>
        <v>4350</v>
      </c>
      <c r="U17" s="74">
        <f t="shared" si="2"/>
        <v>150</v>
      </c>
      <c r="V17" s="29">
        <f t="shared" si="2"/>
        <v>500</v>
      </c>
      <c r="W17" s="29">
        <f t="shared" si="2"/>
        <v>350</v>
      </c>
      <c r="X17" s="29">
        <f t="shared" si="2"/>
        <v>450</v>
      </c>
      <c r="Y17" s="29">
        <f t="shared" si="2"/>
        <v>600</v>
      </c>
      <c r="Z17" s="29">
        <f>SUM(Z5:Z16)</f>
        <v>250</v>
      </c>
      <c r="AA17" s="29">
        <f>SUM(AA5:AA16)</f>
        <v>700</v>
      </c>
    </row>
    <row r="18" spans="1:27" ht="22.9" customHeight="1" x14ac:dyDescent="0.3">
      <c r="A18" s="17"/>
      <c r="D18" s="70"/>
      <c r="E18" s="20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5"/>
    </row>
    <row r="19" spans="1:27" ht="22.9" customHeight="1" x14ac:dyDescent="0.3">
      <c r="A19" s="17"/>
      <c r="B19" s="22"/>
      <c r="C19" s="22"/>
      <c r="D19" s="24"/>
      <c r="E19" s="20"/>
      <c r="F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56"/>
    </row>
    <row r="20" spans="1:27" ht="22.9" customHeight="1" x14ac:dyDescent="0.3">
      <c r="A20" s="17"/>
      <c r="B20" s="22"/>
      <c r="C20" s="22"/>
      <c r="D20" s="24"/>
      <c r="E20" s="20"/>
      <c r="F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56"/>
    </row>
    <row r="21" spans="1:27" ht="22.9" customHeight="1" x14ac:dyDescent="0.3">
      <c r="A21" s="17"/>
      <c r="B21" s="22"/>
      <c r="C21" s="22"/>
      <c r="D21" s="24"/>
      <c r="E21" s="20"/>
      <c r="F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56"/>
    </row>
    <row r="22" spans="1:27" ht="22.9" customHeight="1" x14ac:dyDescent="0.3">
      <c r="A22" s="17"/>
      <c r="B22" s="22"/>
      <c r="C22" s="22"/>
      <c r="D22" s="24"/>
      <c r="E22" s="20"/>
      <c r="F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56"/>
    </row>
    <row r="23" spans="1:27" ht="22.9" customHeight="1" x14ac:dyDescent="0.3">
      <c r="A23" s="17"/>
      <c r="B23" s="22"/>
      <c r="C23" s="22"/>
      <c r="D23" s="24"/>
      <c r="E23" s="20"/>
      <c r="F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56"/>
    </row>
    <row r="24" spans="1:27" ht="22.9" customHeight="1" x14ac:dyDescent="0.3">
      <c r="A24" s="17"/>
      <c r="B24" s="22"/>
      <c r="C24" s="22"/>
      <c r="D24" s="23"/>
      <c r="E24" s="20"/>
      <c r="F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56"/>
    </row>
    <row r="25" spans="1:27" ht="22.9" customHeight="1" x14ac:dyDescent="0.3">
      <c r="A25" s="17"/>
      <c r="B25" s="18"/>
      <c r="C25" s="18"/>
      <c r="D25" s="19"/>
      <c r="E25" s="20"/>
      <c r="F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:27" ht="22.9" customHeight="1" x14ac:dyDescent="0.3">
      <c r="A26" s="17"/>
      <c r="B26" s="18"/>
      <c r="C26" s="18"/>
      <c r="D26" s="19"/>
      <c r="E26" s="20"/>
      <c r="F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:27" ht="22.9" customHeight="1" x14ac:dyDescent="0.3">
      <c r="A27" s="17">
        <v>21</v>
      </c>
      <c r="B27" s="18"/>
      <c r="C27" s="18"/>
      <c r="D27" s="19"/>
      <c r="E27" s="20"/>
      <c r="F27" s="21"/>
    </row>
    <row r="28" spans="1:27" ht="22.9" customHeight="1" x14ac:dyDescent="0.3">
      <c r="A28" s="17">
        <v>22</v>
      </c>
      <c r="B28" s="18"/>
      <c r="C28" s="18"/>
      <c r="D28" s="19"/>
      <c r="E28" s="20"/>
      <c r="F28" s="21"/>
    </row>
    <row r="29" spans="1:27" ht="22.9" customHeight="1" x14ac:dyDescent="0.3">
      <c r="A29" s="17">
        <v>23</v>
      </c>
      <c r="B29" s="18"/>
      <c r="C29" s="18"/>
      <c r="D29" s="19"/>
      <c r="E29" s="20"/>
      <c r="F29" s="21"/>
    </row>
    <row r="30" spans="1:27" ht="22.9" customHeight="1" x14ac:dyDescent="0.3">
      <c r="A30" s="17">
        <v>24</v>
      </c>
      <c r="B30" s="18"/>
      <c r="C30" s="18"/>
      <c r="D30" s="19"/>
      <c r="E30" s="20"/>
      <c r="F30" s="21"/>
    </row>
    <row r="31" spans="1:27" ht="22.9" customHeight="1" x14ac:dyDescent="0.3">
      <c r="A31" s="17">
        <v>25</v>
      </c>
      <c r="B31" s="18"/>
      <c r="C31" s="18"/>
      <c r="D31" s="25"/>
      <c r="E31" s="20"/>
      <c r="F31" s="21"/>
    </row>
  </sheetData>
  <sortState xmlns:xlrd2="http://schemas.microsoft.com/office/spreadsheetml/2017/richdata2" ref="B5:U17">
    <sortCondition ref="B5:B17"/>
  </sortState>
  <mergeCells count="1">
    <mergeCell ref="H3:S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2770-51FF-4843-9780-B70D6BB451CD}">
  <dimension ref="A2:Y29"/>
  <sheetViews>
    <sheetView zoomScale="40" zoomScaleNormal="40" workbookViewId="0">
      <selection activeCell="S8" sqref="S8"/>
    </sheetView>
  </sheetViews>
  <sheetFormatPr baseColWidth="10" defaultColWidth="11.5703125" defaultRowHeight="16.5" x14ac:dyDescent="0.3"/>
  <cols>
    <col min="1" max="1" width="5.5703125" style="2" customWidth="1"/>
    <col min="2" max="3" width="21.5703125" style="1" customWidth="1"/>
    <col min="4" max="4" width="23.7109375" style="2" customWidth="1"/>
    <col min="5" max="5" width="15.85546875" style="27" customWidth="1"/>
    <col min="6" max="6" width="19.140625" style="27" customWidth="1"/>
    <col min="7" max="20" width="10.140625" style="1" customWidth="1"/>
    <col min="21" max="21" width="11.85546875" style="1" customWidth="1"/>
    <col min="22" max="24" width="10.140625" style="1" customWidth="1"/>
    <col min="25" max="16384" width="11.5703125" style="1"/>
  </cols>
  <sheetData>
    <row r="2" spans="1:25" ht="17.25" x14ac:dyDescent="0.3">
      <c r="A2" s="15" t="s">
        <v>0</v>
      </c>
      <c r="B2" s="5"/>
      <c r="C2" s="5"/>
      <c r="D2" s="6"/>
    </row>
    <row r="3" spans="1:25" ht="18.75" x14ac:dyDescent="0.3">
      <c r="A3" s="16" t="s">
        <v>1</v>
      </c>
      <c r="B3" s="5"/>
      <c r="C3" s="5"/>
      <c r="D3" s="6"/>
      <c r="G3" s="184" t="s">
        <v>235</v>
      </c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6"/>
    </row>
    <row r="4" spans="1:25" s="4" customFormat="1" ht="30.6" customHeight="1" x14ac:dyDescent="0.25">
      <c r="A4" s="13" t="s">
        <v>42</v>
      </c>
      <c r="B4" s="13" t="s">
        <v>39</v>
      </c>
      <c r="C4" s="13" t="s">
        <v>40</v>
      </c>
      <c r="D4" s="13" t="s">
        <v>108</v>
      </c>
      <c r="E4" s="76" t="s">
        <v>104</v>
      </c>
      <c r="F4" s="76" t="s">
        <v>116</v>
      </c>
      <c r="G4" s="87" t="s">
        <v>222</v>
      </c>
      <c r="H4" s="87" t="s">
        <v>223</v>
      </c>
      <c r="I4" s="87" t="s">
        <v>224</v>
      </c>
      <c r="J4" s="87" t="s">
        <v>225</v>
      </c>
      <c r="K4" s="87" t="s">
        <v>226</v>
      </c>
      <c r="L4" s="87" t="s">
        <v>227</v>
      </c>
      <c r="M4" s="87" t="s">
        <v>228</v>
      </c>
      <c r="N4" s="87" t="s">
        <v>229</v>
      </c>
      <c r="O4" s="87" t="s">
        <v>230</v>
      </c>
      <c r="P4" s="87" t="s">
        <v>231</v>
      </c>
      <c r="Q4" s="87" t="s">
        <v>232</v>
      </c>
      <c r="R4" s="87" t="s">
        <v>233</v>
      </c>
      <c r="S4" s="83" t="s">
        <v>234</v>
      </c>
      <c r="T4" s="111" t="s">
        <v>342</v>
      </c>
      <c r="U4" s="129" t="s">
        <v>356</v>
      </c>
      <c r="V4" s="135"/>
      <c r="W4" s="158">
        <v>45839</v>
      </c>
      <c r="X4" s="169"/>
      <c r="Y4" s="78" t="s">
        <v>471</v>
      </c>
    </row>
    <row r="5" spans="1:25" ht="33" x14ac:dyDescent="0.3">
      <c r="A5" s="7">
        <v>1</v>
      </c>
      <c r="B5" s="32" t="s">
        <v>95</v>
      </c>
      <c r="C5" s="32" t="s">
        <v>306</v>
      </c>
      <c r="D5" s="30">
        <v>36641</v>
      </c>
      <c r="E5" s="90" t="s">
        <v>306</v>
      </c>
      <c r="F5" s="90" t="s">
        <v>307</v>
      </c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>
        <f>SUM(G5:R5)</f>
        <v>0</v>
      </c>
      <c r="T5" s="73"/>
    </row>
    <row r="6" spans="1:25" s="67" customFormat="1" ht="33" x14ac:dyDescent="0.3">
      <c r="A6" s="60">
        <v>1</v>
      </c>
      <c r="B6" s="64" t="s">
        <v>96</v>
      </c>
      <c r="C6" s="64" t="s">
        <v>97</v>
      </c>
      <c r="D6" s="69">
        <v>38728</v>
      </c>
      <c r="E6" s="93" t="s">
        <v>304</v>
      </c>
      <c r="F6" s="93" t="s">
        <v>305</v>
      </c>
      <c r="G6" s="10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>
        <f>SUM(H6:R6)</f>
        <v>0</v>
      </c>
      <c r="T6" s="72">
        <v>50</v>
      </c>
    </row>
    <row r="7" spans="1:25" ht="82.5" x14ac:dyDescent="0.3">
      <c r="A7" s="7">
        <v>1</v>
      </c>
      <c r="B7" s="32" t="s">
        <v>199</v>
      </c>
      <c r="C7" s="57" t="s">
        <v>203</v>
      </c>
      <c r="D7" s="30">
        <v>39439</v>
      </c>
      <c r="E7" s="90" t="s">
        <v>475</v>
      </c>
      <c r="F7" s="90" t="s">
        <v>200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85"/>
      <c r="R7" s="85"/>
      <c r="S7" s="85">
        <f>SUM(Q7:R7)</f>
        <v>0</v>
      </c>
      <c r="T7" s="73">
        <v>500</v>
      </c>
    </row>
    <row r="8" spans="1:25" ht="49.5" x14ac:dyDescent="0.3">
      <c r="A8" s="60">
        <v>1</v>
      </c>
      <c r="B8" s="64" t="s">
        <v>98</v>
      </c>
      <c r="C8" s="64" t="s">
        <v>99</v>
      </c>
      <c r="D8" s="65">
        <v>38998</v>
      </c>
      <c r="E8" s="90" t="s">
        <v>288</v>
      </c>
      <c r="F8" s="90" t="s">
        <v>289</v>
      </c>
      <c r="G8" s="124">
        <v>50</v>
      </c>
      <c r="H8" s="124">
        <v>50</v>
      </c>
      <c r="I8" s="124">
        <v>50</v>
      </c>
      <c r="J8" s="124">
        <v>50</v>
      </c>
      <c r="K8" s="140">
        <v>50</v>
      </c>
      <c r="L8" s="140">
        <v>50</v>
      </c>
      <c r="M8" s="140">
        <v>50</v>
      </c>
      <c r="N8" s="140">
        <v>50</v>
      </c>
      <c r="O8" s="85"/>
      <c r="P8" s="85"/>
      <c r="Q8" s="85"/>
      <c r="R8" s="85"/>
      <c r="S8" s="85">
        <f>SUM(G8:R8)</f>
        <v>400</v>
      </c>
      <c r="T8" s="73"/>
      <c r="W8" s="1">
        <v>200</v>
      </c>
    </row>
    <row r="9" spans="1:25" ht="33" x14ac:dyDescent="0.3">
      <c r="A9" s="60">
        <v>1</v>
      </c>
      <c r="B9" s="64" t="s">
        <v>100</v>
      </c>
      <c r="C9" s="64" t="s">
        <v>237</v>
      </c>
      <c r="D9" s="69">
        <v>39413</v>
      </c>
      <c r="E9" s="90" t="s">
        <v>241</v>
      </c>
      <c r="F9" s="90">
        <v>44589744</v>
      </c>
      <c r="G9" s="126">
        <v>50</v>
      </c>
      <c r="H9" s="126">
        <v>50</v>
      </c>
      <c r="I9" s="126">
        <v>50</v>
      </c>
      <c r="J9" s="166">
        <v>50</v>
      </c>
      <c r="K9" s="166">
        <v>50</v>
      </c>
      <c r="L9" s="85"/>
      <c r="M9" s="85"/>
      <c r="N9" s="85"/>
      <c r="O9" s="85"/>
      <c r="P9" s="85"/>
      <c r="Q9" s="85"/>
      <c r="R9" s="85"/>
      <c r="S9" s="85">
        <f>SUM(G9:R9)</f>
        <v>250</v>
      </c>
      <c r="T9" s="73"/>
      <c r="U9" s="1">
        <v>150</v>
      </c>
      <c r="X9" s="1">
        <v>100</v>
      </c>
    </row>
    <row r="10" spans="1:25" s="29" customFormat="1" ht="22.9" customHeight="1" x14ac:dyDescent="0.2">
      <c r="A10" s="3">
        <f>SUM(A5:A9)</f>
        <v>5</v>
      </c>
      <c r="B10" s="33"/>
      <c r="C10" s="33"/>
      <c r="D10" s="51"/>
      <c r="E10" s="97"/>
      <c r="F10" s="97"/>
      <c r="G10" s="96">
        <f>SUM(G5:G9)</f>
        <v>100</v>
      </c>
      <c r="H10" s="96">
        <f t="shared" ref="H10:R10" si="0">SUM(H5:H9)</f>
        <v>100</v>
      </c>
      <c r="I10" s="96">
        <f t="shared" si="0"/>
        <v>100</v>
      </c>
      <c r="J10" s="96">
        <f t="shared" si="0"/>
        <v>100</v>
      </c>
      <c r="K10" s="96">
        <f t="shared" si="0"/>
        <v>100</v>
      </c>
      <c r="L10" s="96">
        <f t="shared" si="0"/>
        <v>50</v>
      </c>
      <c r="M10" s="96">
        <f t="shared" si="0"/>
        <v>50</v>
      </c>
      <c r="N10" s="96">
        <f t="shared" si="0"/>
        <v>50</v>
      </c>
      <c r="O10" s="96">
        <f t="shared" si="0"/>
        <v>0</v>
      </c>
      <c r="P10" s="96">
        <f t="shared" si="0"/>
        <v>0</v>
      </c>
      <c r="Q10" s="96">
        <f t="shared" si="0"/>
        <v>0</v>
      </c>
      <c r="R10" s="96">
        <f t="shared" si="0"/>
        <v>0</v>
      </c>
      <c r="S10" s="96">
        <f t="shared" ref="S10:X10" si="1">SUM(S5:S9)</f>
        <v>650</v>
      </c>
      <c r="T10" s="96">
        <f t="shared" si="1"/>
        <v>550</v>
      </c>
      <c r="U10" s="29">
        <f t="shared" si="1"/>
        <v>150</v>
      </c>
      <c r="V10" s="29">
        <f t="shared" si="1"/>
        <v>0</v>
      </c>
      <c r="W10" s="29">
        <f t="shared" si="1"/>
        <v>200</v>
      </c>
      <c r="X10" s="29">
        <f t="shared" si="1"/>
        <v>100</v>
      </c>
    </row>
    <row r="11" spans="1:25" ht="22.9" customHeight="1" x14ac:dyDescent="0.3">
      <c r="A11" s="17"/>
      <c r="B11" s="18"/>
      <c r="C11" s="18"/>
      <c r="D11" s="19"/>
      <c r="E11" s="112"/>
      <c r="F11" s="99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73"/>
    </row>
    <row r="12" spans="1:25" ht="22.9" customHeight="1" x14ac:dyDescent="0.3">
      <c r="A12" s="17"/>
      <c r="B12" s="63"/>
      <c r="C12" s="18"/>
      <c r="D12" s="19"/>
      <c r="E12" s="39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56"/>
    </row>
    <row r="13" spans="1:25" ht="22.9" customHeight="1" x14ac:dyDescent="0.3">
      <c r="A13" s="17"/>
      <c r="B13" s="22"/>
      <c r="C13" s="22"/>
      <c r="D13" s="23"/>
      <c r="E13" s="39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56"/>
    </row>
    <row r="14" spans="1:25" ht="22.9" customHeight="1" x14ac:dyDescent="0.3">
      <c r="A14" s="17"/>
      <c r="B14" s="22"/>
      <c r="C14" s="22"/>
      <c r="D14" s="23"/>
      <c r="E14" s="3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56"/>
    </row>
    <row r="15" spans="1:25" ht="22.9" customHeight="1" x14ac:dyDescent="0.3">
      <c r="A15" s="17"/>
      <c r="B15" s="22"/>
      <c r="C15" s="22"/>
      <c r="D15" s="23"/>
      <c r="E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56"/>
    </row>
    <row r="16" spans="1:25" ht="22.9" customHeight="1" x14ac:dyDescent="0.3">
      <c r="A16" s="17"/>
      <c r="B16" s="22"/>
      <c r="C16" s="22"/>
      <c r="D16" s="23"/>
      <c r="E16" s="39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56"/>
    </row>
    <row r="17" spans="1:19" ht="22.9" customHeight="1" x14ac:dyDescent="0.3">
      <c r="A17" s="17"/>
      <c r="B17" s="22"/>
      <c r="C17" s="22"/>
      <c r="D17" s="24"/>
      <c r="E17" s="39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56"/>
    </row>
    <row r="18" spans="1:19" ht="22.9" customHeight="1" x14ac:dyDescent="0.3">
      <c r="A18" s="17"/>
      <c r="B18" s="22"/>
      <c r="C18" s="22"/>
      <c r="D18" s="24"/>
      <c r="E18" s="39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56"/>
    </row>
    <row r="19" spans="1:19" ht="22.9" customHeight="1" x14ac:dyDescent="0.3">
      <c r="A19" s="17"/>
      <c r="B19" s="22"/>
      <c r="C19" s="22"/>
      <c r="D19" s="24"/>
      <c r="E19" s="39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22.9" customHeight="1" x14ac:dyDescent="0.3">
      <c r="A20" s="17"/>
      <c r="B20" s="22"/>
      <c r="C20" s="22"/>
      <c r="D20" s="24"/>
      <c r="E20" s="39"/>
    </row>
    <row r="21" spans="1:19" ht="22.9" customHeight="1" x14ac:dyDescent="0.3">
      <c r="A21" s="17"/>
      <c r="B21" s="22"/>
      <c r="C21" s="22"/>
      <c r="D21" s="24"/>
      <c r="E21" s="39"/>
    </row>
    <row r="22" spans="1:19" ht="22.9" customHeight="1" x14ac:dyDescent="0.3">
      <c r="A22" s="17"/>
      <c r="B22" s="22"/>
      <c r="C22" s="22"/>
      <c r="D22" s="23"/>
      <c r="E22" s="39"/>
    </row>
    <row r="23" spans="1:19" ht="22.9" customHeight="1" x14ac:dyDescent="0.3">
      <c r="A23" s="17"/>
      <c r="B23" s="18"/>
      <c r="C23" s="18"/>
      <c r="D23" s="19"/>
      <c r="E23" s="39"/>
    </row>
    <row r="24" spans="1:19" ht="22.9" customHeight="1" x14ac:dyDescent="0.3">
      <c r="A24" s="17"/>
      <c r="B24" s="18"/>
      <c r="C24" s="18"/>
      <c r="D24" s="19"/>
      <c r="E24" s="39"/>
    </row>
    <row r="25" spans="1:19" ht="22.9" customHeight="1" x14ac:dyDescent="0.3">
      <c r="A25" s="17">
        <v>21</v>
      </c>
      <c r="B25" s="18"/>
      <c r="C25" s="18"/>
      <c r="D25" s="19"/>
      <c r="E25" s="39"/>
    </row>
    <row r="26" spans="1:19" ht="22.9" customHeight="1" x14ac:dyDescent="0.3">
      <c r="A26" s="17">
        <v>22</v>
      </c>
      <c r="B26" s="18"/>
      <c r="C26" s="18"/>
      <c r="D26" s="19"/>
      <c r="E26" s="39"/>
    </row>
    <row r="27" spans="1:19" ht="22.9" customHeight="1" x14ac:dyDescent="0.3">
      <c r="A27" s="17">
        <v>23</v>
      </c>
      <c r="B27" s="18"/>
      <c r="C27" s="18"/>
      <c r="D27" s="19"/>
      <c r="E27" s="39"/>
    </row>
    <row r="28" spans="1:19" ht="22.9" customHeight="1" x14ac:dyDescent="0.3">
      <c r="A28" s="17">
        <v>24</v>
      </c>
      <c r="B28" s="18"/>
      <c r="C28" s="18"/>
      <c r="D28" s="19"/>
      <c r="E28" s="39"/>
    </row>
    <row r="29" spans="1:19" ht="22.9" customHeight="1" x14ac:dyDescent="0.3">
      <c r="A29" s="17">
        <v>25</v>
      </c>
      <c r="B29" s="18"/>
      <c r="C29" s="18"/>
      <c r="D29" s="25"/>
      <c r="E29" s="39"/>
    </row>
  </sheetData>
  <mergeCells count="1">
    <mergeCell ref="G3:R3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DA25-1EDC-472D-AF50-B2ABC126AB6C}">
  <dimension ref="A1:J30"/>
  <sheetViews>
    <sheetView workbookViewId="0">
      <selection activeCell="G4" sqref="G4"/>
    </sheetView>
  </sheetViews>
  <sheetFormatPr baseColWidth="10" defaultRowHeight="15" x14ac:dyDescent="0.25"/>
  <cols>
    <col min="1" max="1" width="26.140625" customWidth="1"/>
    <col min="2" max="2" width="16.85546875" customWidth="1"/>
    <col min="3" max="3" width="16.5703125" customWidth="1"/>
    <col min="4" max="4" width="14.5703125" customWidth="1"/>
    <col min="5" max="5" width="15.7109375" customWidth="1"/>
    <col min="6" max="6" width="15.140625" customWidth="1"/>
    <col min="7" max="7" width="16.140625" customWidth="1"/>
    <col min="8" max="9" width="11.5703125" customWidth="1"/>
  </cols>
  <sheetData>
    <row r="1" spans="1:10" x14ac:dyDescent="0.25">
      <c r="A1" s="115" t="s">
        <v>347</v>
      </c>
    </row>
    <row r="3" spans="1:10" ht="34.15" customHeight="1" x14ac:dyDescent="0.25">
      <c r="A3" s="161" t="s">
        <v>344</v>
      </c>
      <c r="B3" s="161" t="s">
        <v>345</v>
      </c>
      <c r="C3" s="162" t="s">
        <v>346</v>
      </c>
      <c r="D3" s="163" t="s">
        <v>348</v>
      </c>
      <c r="E3" s="164" t="s">
        <v>354</v>
      </c>
      <c r="F3" s="164" t="s">
        <v>355</v>
      </c>
      <c r="G3" s="164" t="s">
        <v>358</v>
      </c>
      <c r="H3" s="164" t="s">
        <v>452</v>
      </c>
      <c r="I3" s="164" t="s">
        <v>457</v>
      </c>
      <c r="J3" s="179" t="s">
        <v>467</v>
      </c>
    </row>
    <row r="4" spans="1:10" x14ac:dyDescent="0.25">
      <c r="A4" s="116" t="s">
        <v>169</v>
      </c>
      <c r="B4" s="116">
        <f>'1ERO. BÁSICO'!T33</f>
        <v>9350</v>
      </c>
      <c r="C4" s="116">
        <f>'1ERO. BÁSICO'!U33</f>
        <v>950</v>
      </c>
      <c r="D4" s="116">
        <f>SUM(B4:C4)</f>
        <v>10300</v>
      </c>
      <c r="E4" s="116">
        <f>'1ERO. BÁSICO'!V33</f>
        <v>1750</v>
      </c>
      <c r="F4" s="116">
        <f>'1ERO. BÁSICO'!W33</f>
        <v>1450</v>
      </c>
      <c r="G4" s="116">
        <f>'1ERO. BÁSICO'!X33</f>
        <v>900</v>
      </c>
      <c r="H4" s="116">
        <f>'1ERO. BÁSICO'!Y33</f>
        <v>1200</v>
      </c>
      <c r="I4" s="116">
        <f>'1ERO. BÁSICO'!Z33</f>
        <v>1500</v>
      </c>
      <c r="J4">
        <f>'1ERO. BÁSICO'!AA33</f>
        <v>1100</v>
      </c>
    </row>
    <row r="5" spans="1:10" x14ac:dyDescent="0.25">
      <c r="A5" s="116" t="s">
        <v>170</v>
      </c>
      <c r="B5" s="116">
        <f>'2DO. BÁSICO'!T33</f>
        <v>7550</v>
      </c>
      <c r="C5" s="116">
        <f>'2DO. BÁSICO'!U33</f>
        <v>1100</v>
      </c>
      <c r="D5" s="116">
        <f t="shared" ref="D5:D9" si="0">SUM(B5:C5)</f>
        <v>8650</v>
      </c>
      <c r="E5" s="116">
        <f>'2DO. BÁSICO'!V33</f>
        <v>1200</v>
      </c>
      <c r="F5" s="116">
        <f>'2DO. BÁSICO'!W33</f>
        <v>900</v>
      </c>
      <c r="G5" s="116">
        <f>'2DO. BÁSICO'!X33</f>
        <v>900</v>
      </c>
      <c r="H5" s="116">
        <f>'2DO. BÁSICO'!Y33</f>
        <v>1200</v>
      </c>
      <c r="I5" s="116">
        <f>'2DO. BÁSICO'!Z33</f>
        <v>1050</v>
      </c>
      <c r="J5">
        <f>'2DO. BÁSICO'!AA33</f>
        <v>700</v>
      </c>
    </row>
    <row r="6" spans="1:10" x14ac:dyDescent="0.25">
      <c r="A6" s="116" t="s">
        <v>171</v>
      </c>
      <c r="B6" s="116">
        <f>'3ERO. BÁSICO'!T23</f>
        <v>4250</v>
      </c>
      <c r="C6" s="116">
        <f>'3ERO. BÁSICO'!U23</f>
        <v>1000</v>
      </c>
      <c r="D6" s="116">
        <f t="shared" si="0"/>
        <v>5250</v>
      </c>
      <c r="E6" s="116">
        <f>'3ERO. BÁSICO'!V23</f>
        <v>600</v>
      </c>
      <c r="F6" s="116">
        <f>'3ERO. BÁSICO'!W23</f>
        <v>700</v>
      </c>
      <c r="G6" s="116">
        <f>'3ERO. BÁSICO'!X23</f>
        <v>400</v>
      </c>
      <c r="H6" s="116">
        <f>'3ERO. BÁSICO'!Y23</f>
        <v>1050</v>
      </c>
      <c r="I6" s="116">
        <f>'3ERO. BÁSICO'!Z23</f>
        <v>600</v>
      </c>
      <c r="J6">
        <f>'3ERO. BÁSICO'!AA23</f>
        <v>500</v>
      </c>
    </row>
    <row r="7" spans="1:10" x14ac:dyDescent="0.25">
      <c r="A7" s="116" t="s">
        <v>172</v>
      </c>
      <c r="B7" s="116">
        <f>'4TO. BACHILLERATO'!T17</f>
        <v>4350</v>
      </c>
      <c r="C7" s="116">
        <f>'4TO. BACHILLERATO'!U17</f>
        <v>150</v>
      </c>
      <c r="D7" s="116">
        <f t="shared" si="0"/>
        <v>4500</v>
      </c>
      <c r="E7" s="116">
        <f>'4TO. BACHILLERATO'!V17</f>
        <v>500</v>
      </c>
      <c r="F7" s="116">
        <f>'4TO. BACHILLERATO'!W17</f>
        <v>350</v>
      </c>
      <c r="G7" s="116">
        <f>'4TO. BACHILLERATO'!X17</f>
        <v>450</v>
      </c>
      <c r="H7" s="116">
        <f>'4TO. BACHILLERATO'!Y17</f>
        <v>600</v>
      </c>
      <c r="I7" s="116">
        <f>'4TO. BACHILLERATO'!Z17</f>
        <v>250</v>
      </c>
      <c r="J7">
        <f>'4TO. BACHILLERATO'!AA17</f>
        <v>700</v>
      </c>
    </row>
    <row r="8" spans="1:10" x14ac:dyDescent="0.25">
      <c r="A8" s="116" t="s">
        <v>249</v>
      </c>
      <c r="B8" s="116">
        <f>'5TO. BACHILLERATO'!S10</f>
        <v>650</v>
      </c>
      <c r="C8" s="116">
        <f>'5TO. BACHILLERATO'!T10</f>
        <v>550</v>
      </c>
      <c r="D8" s="116">
        <f t="shared" si="0"/>
        <v>1200</v>
      </c>
      <c r="E8" s="116"/>
      <c r="F8" s="116">
        <f>'5TO. BACHILLERATO'!U10</f>
        <v>150</v>
      </c>
      <c r="G8" s="116">
        <f>'5TO. BACHILLERATO'!V10</f>
        <v>0</v>
      </c>
      <c r="H8" s="116">
        <f>'5TO. BACHILLERATO'!W10</f>
        <v>200</v>
      </c>
      <c r="I8" s="116">
        <f>'5TO. BACHILLERATO'!X10</f>
        <v>100</v>
      </c>
      <c r="J8">
        <f>'5TO. BACHILLERATO'!Y10</f>
        <v>0</v>
      </c>
    </row>
    <row r="9" spans="1:10" x14ac:dyDescent="0.25">
      <c r="A9" s="116"/>
      <c r="B9" s="117">
        <f>SUM(B4:B8)</f>
        <v>26150</v>
      </c>
      <c r="C9" s="117">
        <f>SUM(C4:C8)</f>
        <v>3750</v>
      </c>
      <c r="D9" s="117">
        <f t="shared" si="0"/>
        <v>29900</v>
      </c>
      <c r="E9" s="117">
        <f t="shared" ref="E9:J9" si="1">SUM(E4:E8)</f>
        <v>4050</v>
      </c>
      <c r="F9" s="117">
        <f t="shared" si="1"/>
        <v>3550</v>
      </c>
      <c r="G9" s="165">
        <f t="shared" si="1"/>
        <v>2650</v>
      </c>
      <c r="H9" s="165">
        <f t="shared" si="1"/>
        <v>4250</v>
      </c>
      <c r="I9" s="165">
        <f t="shared" si="1"/>
        <v>3500</v>
      </c>
      <c r="J9" s="176">
        <f t="shared" si="1"/>
        <v>3000</v>
      </c>
    </row>
    <row r="10" spans="1:10" x14ac:dyDescent="0.25">
      <c r="A10" s="118"/>
      <c r="B10" s="119"/>
      <c r="C10" s="119"/>
      <c r="D10" s="119"/>
    </row>
    <row r="11" spans="1:10" hidden="1" x14ac:dyDescent="0.25">
      <c r="A11" s="118"/>
      <c r="B11" s="119"/>
      <c r="C11" s="119"/>
      <c r="D11" s="119"/>
    </row>
    <row r="12" spans="1:10" hidden="1" x14ac:dyDescent="0.25">
      <c r="A12" s="119" t="s">
        <v>357</v>
      </c>
      <c r="B12" s="119"/>
      <c r="C12" s="119"/>
      <c r="D12" s="119"/>
    </row>
    <row r="13" spans="1:10" hidden="1" x14ac:dyDescent="0.25">
      <c r="A13" s="118"/>
      <c r="B13" s="119"/>
      <c r="C13" s="119"/>
      <c r="D13" s="119"/>
    </row>
    <row r="14" spans="1:10" hidden="1" x14ac:dyDescent="0.25">
      <c r="A14" s="118" t="s">
        <v>222</v>
      </c>
      <c r="B14" s="119">
        <f>'1ERO. BÁSICO'!H33+'2DO. BÁSICO'!H33+'3ERO. BÁSICO'!H23+'4TO. BACHILLERATO'!H17+'5TO. BACHILLERATO'!G10</f>
        <v>2950</v>
      </c>
      <c r="C14" s="119"/>
      <c r="D14" s="119"/>
    </row>
    <row r="15" spans="1:10" hidden="1" x14ac:dyDescent="0.25">
      <c r="A15" s="118" t="s">
        <v>223</v>
      </c>
      <c r="B15" s="119">
        <f>'1ERO. BÁSICO'!I33+'2DO. BÁSICO'!I33+'3ERO. BÁSICO'!I23+'4TO. BACHILLERATO'!I17+'5TO. BACHILLERATO'!H10</f>
        <v>3350</v>
      </c>
      <c r="C15" s="119"/>
      <c r="D15" s="119"/>
    </row>
    <row r="16" spans="1:10" hidden="1" x14ac:dyDescent="0.25">
      <c r="A16" s="120" t="s">
        <v>224</v>
      </c>
      <c r="B16" s="119">
        <f>'1ERO. BÁSICO'!J33+'2DO. BÁSICO'!J33+'3ERO. BÁSICO'!J23+'4TO. BACHILLERATO'!J17+'5TO. BACHILLERATO'!I10</f>
        <v>3500</v>
      </c>
      <c r="C16" s="119"/>
      <c r="D16" s="119"/>
    </row>
    <row r="17" spans="1:10" hidden="1" x14ac:dyDescent="0.25">
      <c r="A17" s="120" t="s">
        <v>349</v>
      </c>
      <c r="B17" s="119">
        <f>'1ERO. BÁSICO'!K33+'2DO. BÁSICO'!K33+'3ERO. BÁSICO'!K23+'4TO. BACHILLERATO'!K17+'5TO. BACHILLERATO'!J10</f>
        <v>3350</v>
      </c>
      <c r="C17" s="119"/>
      <c r="D17" s="119"/>
    </row>
    <row r="18" spans="1:10" hidden="1" x14ac:dyDescent="0.25">
      <c r="A18" s="120" t="s">
        <v>350</v>
      </c>
      <c r="B18" s="119">
        <f>'1ERO. BÁSICO'!L33+'2DO. BÁSICO'!L33+'3ERO. BÁSICO'!L23+'4TO. BACHILLERATO'!L17+'5TO. BACHILLERATO'!K10</f>
        <v>3450</v>
      </c>
      <c r="C18" s="119"/>
      <c r="D18" s="119"/>
    </row>
    <row r="19" spans="1:10" hidden="1" x14ac:dyDescent="0.25">
      <c r="A19" s="120" t="s">
        <v>227</v>
      </c>
      <c r="B19" s="119">
        <v>50</v>
      </c>
      <c r="C19" s="119"/>
      <c r="D19" s="119"/>
    </row>
    <row r="20" spans="1:10" hidden="1" x14ac:dyDescent="0.25">
      <c r="A20" s="120" t="s">
        <v>228</v>
      </c>
      <c r="B20" s="119">
        <v>50</v>
      </c>
      <c r="C20" s="119"/>
      <c r="D20" s="119"/>
    </row>
    <row r="21" spans="1:10" hidden="1" x14ac:dyDescent="0.25">
      <c r="A21" s="120" t="s">
        <v>229</v>
      </c>
      <c r="B21" s="119">
        <v>50</v>
      </c>
      <c r="C21" s="119"/>
      <c r="D21" s="119"/>
    </row>
    <row r="22" spans="1:10" hidden="1" x14ac:dyDescent="0.25">
      <c r="A22" s="120" t="s">
        <v>230</v>
      </c>
      <c r="B22" s="119">
        <v>50</v>
      </c>
      <c r="C22" s="119"/>
      <c r="D22" s="119"/>
    </row>
    <row r="23" spans="1:10" hidden="1" x14ac:dyDescent="0.25">
      <c r="A23" s="120" t="s">
        <v>231</v>
      </c>
      <c r="B23" s="119">
        <v>50</v>
      </c>
      <c r="C23" s="119"/>
      <c r="D23" s="119"/>
    </row>
    <row r="24" spans="1:10" hidden="1" x14ac:dyDescent="0.25">
      <c r="A24" s="118"/>
      <c r="B24" s="119">
        <f>SUM(B14:B23)</f>
        <v>16850</v>
      </c>
      <c r="C24" s="119"/>
      <c r="D24" s="119"/>
    </row>
    <row r="25" spans="1:10" x14ac:dyDescent="0.25">
      <c r="A25" s="118"/>
      <c r="B25" s="119"/>
      <c r="C25" s="119"/>
      <c r="D25" s="119"/>
    </row>
    <row r="27" spans="1:10" x14ac:dyDescent="0.25">
      <c r="A27" t="s">
        <v>468</v>
      </c>
    </row>
    <row r="28" spans="1:10" x14ac:dyDescent="0.25">
      <c r="A28" t="s">
        <v>469</v>
      </c>
      <c r="J28">
        <v>300</v>
      </c>
    </row>
    <row r="29" spans="1:10" x14ac:dyDescent="0.25">
      <c r="A29" t="s">
        <v>470</v>
      </c>
      <c r="J29">
        <v>300</v>
      </c>
    </row>
    <row r="30" spans="1:10" x14ac:dyDescent="0.25">
      <c r="J30" s="115">
        <f>SUM(J28:J29)</f>
        <v>600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FE03-F382-46A0-A262-A7EEE11ED93B}">
  <dimension ref="A1:G26"/>
  <sheetViews>
    <sheetView topLeftCell="A3" workbookViewId="0">
      <selection activeCell="K9" sqref="K9"/>
    </sheetView>
  </sheetViews>
  <sheetFormatPr baseColWidth="10" defaultRowHeight="15" x14ac:dyDescent="0.25"/>
  <cols>
    <col min="2" max="2" width="20.42578125" customWidth="1"/>
    <col min="3" max="3" width="24.28515625" customWidth="1"/>
    <col min="4" max="4" width="14.140625" customWidth="1"/>
    <col min="5" max="5" width="15" customWidth="1"/>
    <col min="7" max="7" width="14.140625" customWidth="1"/>
  </cols>
  <sheetData>
    <row r="1" spans="1:7" x14ac:dyDescent="0.25">
      <c r="A1" s="115" t="s">
        <v>361</v>
      </c>
    </row>
    <row r="2" spans="1:7" ht="15.75" x14ac:dyDescent="0.25">
      <c r="A2" s="143" t="s">
        <v>362</v>
      </c>
    </row>
    <row r="3" spans="1:7" ht="45" x14ac:dyDescent="0.25">
      <c r="A3" s="13" t="s">
        <v>42</v>
      </c>
      <c r="B3" s="13" t="s">
        <v>39</v>
      </c>
      <c r="C3" s="13" t="s">
        <v>40</v>
      </c>
      <c r="D3" s="156" t="s">
        <v>364</v>
      </c>
      <c r="E3" s="178" t="s">
        <v>447</v>
      </c>
      <c r="F3" s="157"/>
      <c r="G3" s="155" t="s">
        <v>449</v>
      </c>
    </row>
    <row r="4" spans="1:7" ht="17.25" x14ac:dyDescent="0.25">
      <c r="A4" s="7">
        <v>1</v>
      </c>
      <c r="B4" s="32" t="s">
        <v>453</v>
      </c>
      <c r="C4" s="32" t="s">
        <v>91</v>
      </c>
      <c r="D4" s="141">
        <v>600</v>
      </c>
    </row>
    <row r="5" spans="1:7" ht="17.25" x14ac:dyDescent="0.25">
      <c r="A5" s="7">
        <v>2</v>
      </c>
      <c r="B5" s="32" t="s">
        <v>92</v>
      </c>
      <c r="C5" s="32" t="s">
        <v>257</v>
      </c>
      <c r="D5" s="141">
        <v>600</v>
      </c>
    </row>
    <row r="6" spans="1:7" ht="17.25" x14ac:dyDescent="0.25">
      <c r="A6" s="7">
        <v>3</v>
      </c>
      <c r="B6" s="32" t="s">
        <v>332</v>
      </c>
      <c r="C6" s="32" t="s">
        <v>333</v>
      </c>
      <c r="D6" s="141">
        <v>600</v>
      </c>
    </row>
    <row r="7" spans="1:7" ht="17.25" x14ac:dyDescent="0.25">
      <c r="A7" s="7">
        <v>4</v>
      </c>
      <c r="B7" s="32" t="s">
        <v>52</v>
      </c>
      <c r="C7" s="32" t="s">
        <v>93</v>
      </c>
      <c r="D7" s="141"/>
    </row>
    <row r="8" spans="1:7" ht="17.25" x14ac:dyDescent="0.25">
      <c r="A8" s="7">
        <v>5</v>
      </c>
      <c r="B8" s="32" t="s">
        <v>238</v>
      </c>
      <c r="C8" s="32" t="s">
        <v>94</v>
      </c>
      <c r="D8" s="141" t="s">
        <v>448</v>
      </c>
    </row>
    <row r="9" spans="1:7" ht="17.25" x14ac:dyDescent="0.25">
      <c r="A9" s="7">
        <v>6</v>
      </c>
      <c r="B9" s="32" t="s">
        <v>187</v>
      </c>
      <c r="C9" s="32" t="s">
        <v>188</v>
      </c>
      <c r="D9" s="141"/>
    </row>
    <row r="10" spans="1:7" ht="17.25" x14ac:dyDescent="0.25">
      <c r="A10" s="7">
        <v>7</v>
      </c>
      <c r="B10" s="32" t="s">
        <v>298</v>
      </c>
      <c r="C10" s="32" t="s">
        <v>299</v>
      </c>
      <c r="D10" s="141">
        <v>600</v>
      </c>
    </row>
    <row r="11" spans="1:7" ht="17.25" x14ac:dyDescent="0.25">
      <c r="A11" s="7">
        <v>8</v>
      </c>
      <c r="B11" s="32" t="s">
        <v>111</v>
      </c>
      <c r="C11" s="32" t="s">
        <v>109</v>
      </c>
      <c r="D11" s="141">
        <v>600</v>
      </c>
    </row>
    <row r="12" spans="1:7" ht="17.25" x14ac:dyDescent="0.25">
      <c r="A12" s="7">
        <v>9</v>
      </c>
      <c r="B12" s="32" t="s">
        <v>25</v>
      </c>
      <c r="C12" s="32" t="s">
        <v>267</v>
      </c>
      <c r="D12" s="141" t="s">
        <v>454</v>
      </c>
    </row>
    <row r="13" spans="1:7" ht="17.25" x14ac:dyDescent="0.25">
      <c r="A13" s="7">
        <v>10</v>
      </c>
      <c r="B13" s="32" t="s">
        <v>322</v>
      </c>
      <c r="C13" s="32" t="s">
        <v>323</v>
      </c>
      <c r="D13" s="141">
        <v>600</v>
      </c>
    </row>
    <row r="14" spans="1:7" ht="17.25" x14ac:dyDescent="0.25">
      <c r="A14" s="7">
        <v>11</v>
      </c>
      <c r="B14" s="32" t="s">
        <v>326</v>
      </c>
      <c r="C14" s="32" t="s">
        <v>327</v>
      </c>
      <c r="D14" s="141">
        <v>600</v>
      </c>
    </row>
    <row r="15" spans="1:7" x14ac:dyDescent="0.25">
      <c r="A15" s="141"/>
      <c r="B15" s="142"/>
      <c r="C15" s="142"/>
      <c r="D15" s="141"/>
    </row>
    <row r="16" spans="1:7" ht="15.75" x14ac:dyDescent="0.25">
      <c r="A16" s="144" t="s">
        <v>363</v>
      </c>
      <c r="B16" s="142"/>
      <c r="C16" s="142"/>
      <c r="D16" s="141"/>
    </row>
    <row r="17" spans="1:7" ht="17.25" x14ac:dyDescent="0.25">
      <c r="A17" s="145">
        <v>1</v>
      </c>
      <c r="B17" s="32" t="s">
        <v>95</v>
      </c>
      <c r="C17" s="32" t="s">
        <v>306</v>
      </c>
      <c r="D17" s="141" t="s">
        <v>448</v>
      </c>
      <c r="E17" t="s">
        <v>448</v>
      </c>
    </row>
    <row r="18" spans="1:7" ht="17.25" x14ac:dyDescent="0.25">
      <c r="A18" s="145">
        <v>2</v>
      </c>
      <c r="B18" s="64" t="s">
        <v>96</v>
      </c>
      <c r="C18" s="64" t="s">
        <v>97</v>
      </c>
      <c r="D18" s="141"/>
    </row>
    <row r="19" spans="1:7" ht="17.25" x14ac:dyDescent="0.25">
      <c r="A19" s="145">
        <v>3</v>
      </c>
      <c r="B19" s="32" t="s">
        <v>199</v>
      </c>
      <c r="C19" s="32" t="s">
        <v>203</v>
      </c>
      <c r="D19" s="141"/>
      <c r="E19">
        <v>65</v>
      </c>
    </row>
    <row r="20" spans="1:7" ht="17.25" x14ac:dyDescent="0.25">
      <c r="A20" s="145">
        <v>4</v>
      </c>
      <c r="B20" s="64" t="s">
        <v>98</v>
      </c>
      <c r="C20" s="64" t="s">
        <v>99</v>
      </c>
      <c r="D20" s="141">
        <v>600</v>
      </c>
      <c r="E20">
        <v>65</v>
      </c>
    </row>
    <row r="21" spans="1:7" ht="17.25" x14ac:dyDescent="0.25">
      <c r="A21" s="145">
        <v>5</v>
      </c>
      <c r="B21" s="64" t="s">
        <v>100</v>
      </c>
      <c r="C21" s="64" t="s">
        <v>237</v>
      </c>
      <c r="D21" s="141">
        <v>600</v>
      </c>
    </row>
    <row r="22" spans="1:7" x14ac:dyDescent="0.25">
      <c r="D22" s="146"/>
      <c r="E22">
        <f>SUM(E17:E21)</f>
        <v>130</v>
      </c>
      <c r="G22" s="115"/>
    </row>
    <row r="23" spans="1:7" ht="17.25" x14ac:dyDescent="0.25">
      <c r="A23" s="170">
        <v>1</v>
      </c>
      <c r="B23" s="171" t="s">
        <v>455</v>
      </c>
      <c r="C23" s="171" t="s">
        <v>456</v>
      </c>
      <c r="D23">
        <v>200</v>
      </c>
    </row>
    <row r="24" spans="1:7" x14ac:dyDescent="0.25">
      <c r="A24" t="s">
        <v>365</v>
      </c>
      <c r="D24">
        <f>SUM(D4:D23)+E22</f>
        <v>5730</v>
      </c>
    </row>
    <row r="26" spans="1:7" x14ac:dyDescent="0.25">
      <c r="A26" t="s">
        <v>458</v>
      </c>
      <c r="C26" s="115">
        <f>D24-2100</f>
        <v>3630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5AE8-9140-49EF-B863-DF9729671B2F}">
  <dimension ref="A1:M57"/>
  <sheetViews>
    <sheetView topLeftCell="A30" zoomScale="76" workbookViewId="0">
      <selection activeCell="L41" sqref="L41"/>
    </sheetView>
  </sheetViews>
  <sheetFormatPr baseColWidth="10" defaultColWidth="11.5703125" defaultRowHeight="12.75" x14ac:dyDescent="0.2"/>
  <cols>
    <col min="1" max="1" width="3.7109375" style="149" customWidth="1"/>
    <col min="2" max="2" width="16.7109375" style="149" customWidth="1"/>
    <col min="3" max="3" width="18.85546875" style="149" customWidth="1"/>
    <col min="4" max="4" width="24.7109375" style="149" customWidth="1"/>
    <col min="5" max="16384" width="11.5703125" style="149"/>
  </cols>
  <sheetData>
    <row r="1" spans="1:9" ht="15" x14ac:dyDescent="0.25">
      <c r="A1" s="150"/>
      <c r="B1" s="150" t="s">
        <v>366</v>
      </c>
      <c r="C1" s="150"/>
      <c r="D1" s="150"/>
      <c r="E1" s="150"/>
      <c r="F1" s="150"/>
    </row>
    <row r="2" spans="1:9" ht="15" x14ac:dyDescent="0.25">
      <c r="A2" s="151"/>
      <c r="B2" s="152" t="s">
        <v>367</v>
      </c>
      <c r="C2" s="152" t="s">
        <v>368</v>
      </c>
      <c r="D2" s="152" t="s">
        <v>369</v>
      </c>
      <c r="E2" s="151" t="s">
        <v>227</v>
      </c>
      <c r="F2" s="151" t="s">
        <v>228</v>
      </c>
      <c r="G2" s="174" t="s">
        <v>229</v>
      </c>
      <c r="H2" s="174" t="s">
        <v>230</v>
      </c>
      <c r="I2" s="174" t="s">
        <v>231</v>
      </c>
    </row>
    <row r="3" spans="1:9" ht="18" customHeight="1" x14ac:dyDescent="0.25">
      <c r="A3" s="151">
        <v>1</v>
      </c>
      <c r="B3" s="153" t="s">
        <v>370</v>
      </c>
      <c r="C3" s="153" t="s">
        <v>3</v>
      </c>
      <c r="D3" s="153" t="s">
        <v>294</v>
      </c>
      <c r="E3" s="151"/>
      <c r="F3" s="151"/>
      <c r="G3" s="174"/>
      <c r="H3" s="174"/>
      <c r="I3" s="174"/>
    </row>
    <row r="4" spans="1:9" ht="18" customHeight="1" x14ac:dyDescent="0.25">
      <c r="A4" s="151">
        <v>2</v>
      </c>
      <c r="B4" s="153" t="s">
        <v>145</v>
      </c>
      <c r="C4" s="153" t="s">
        <v>4</v>
      </c>
      <c r="D4" s="153" t="s">
        <v>371</v>
      </c>
      <c r="E4" s="151">
        <v>40</v>
      </c>
      <c r="F4" s="151"/>
      <c r="G4" s="174"/>
      <c r="H4" s="174"/>
      <c r="I4" s="174"/>
    </row>
    <row r="5" spans="1:9" ht="18" customHeight="1" x14ac:dyDescent="0.25">
      <c r="A5" s="151">
        <v>3</v>
      </c>
      <c r="B5" s="153" t="s">
        <v>375</v>
      </c>
      <c r="C5" s="153" t="s">
        <v>376</v>
      </c>
      <c r="D5" s="153" t="s">
        <v>377</v>
      </c>
      <c r="E5" s="151"/>
      <c r="F5" s="151"/>
      <c r="G5" s="174"/>
      <c r="H5" s="174"/>
      <c r="I5" s="174"/>
    </row>
    <row r="6" spans="1:9" ht="18" customHeight="1" x14ac:dyDescent="0.25">
      <c r="A6" s="151">
        <v>4</v>
      </c>
      <c r="B6" s="154" t="s">
        <v>71</v>
      </c>
      <c r="C6" s="154" t="s">
        <v>72</v>
      </c>
      <c r="D6" s="154" t="s">
        <v>379</v>
      </c>
      <c r="E6" s="151"/>
      <c r="F6" s="151"/>
      <c r="G6" s="174"/>
      <c r="H6" s="174"/>
      <c r="I6" s="174"/>
    </row>
    <row r="7" spans="1:9" ht="18" customHeight="1" x14ac:dyDescent="0.25">
      <c r="A7" s="151">
        <v>5</v>
      </c>
      <c r="B7" s="154" t="s">
        <v>381</v>
      </c>
      <c r="C7" s="154" t="s">
        <v>48</v>
      </c>
      <c r="D7" s="154" t="s">
        <v>382</v>
      </c>
      <c r="E7" s="151"/>
      <c r="F7" s="151"/>
      <c r="G7" s="174"/>
      <c r="H7" s="174"/>
      <c r="I7" s="174"/>
    </row>
    <row r="8" spans="1:9" ht="18" customHeight="1" x14ac:dyDescent="0.25">
      <c r="A8" s="151">
        <v>6</v>
      </c>
      <c r="B8" s="153" t="s">
        <v>383</v>
      </c>
      <c r="C8" s="153" t="s">
        <v>14</v>
      </c>
      <c r="D8" s="153" t="s">
        <v>384</v>
      </c>
      <c r="E8" s="151">
        <v>40</v>
      </c>
      <c r="F8" s="151">
        <v>40</v>
      </c>
      <c r="G8" s="174">
        <v>40</v>
      </c>
      <c r="H8" s="174"/>
      <c r="I8" s="174"/>
    </row>
    <row r="9" spans="1:9" ht="18" customHeight="1" x14ac:dyDescent="0.25">
      <c r="A9" s="151">
        <v>7</v>
      </c>
      <c r="B9" s="154" t="s">
        <v>387</v>
      </c>
      <c r="C9" s="154" t="s">
        <v>388</v>
      </c>
      <c r="D9" s="154" t="s">
        <v>334</v>
      </c>
      <c r="E9" s="151"/>
      <c r="F9" s="151"/>
      <c r="G9" s="174" t="s">
        <v>466</v>
      </c>
      <c r="H9" s="174"/>
      <c r="I9" s="174"/>
    </row>
    <row r="10" spans="1:9" ht="18" customHeight="1" x14ac:dyDescent="0.25">
      <c r="A10" s="151">
        <v>8</v>
      </c>
      <c r="B10" s="153" t="s">
        <v>386</v>
      </c>
      <c r="C10" s="153" t="s">
        <v>136</v>
      </c>
      <c r="D10" s="153" t="s">
        <v>137</v>
      </c>
      <c r="E10" s="151">
        <v>40</v>
      </c>
      <c r="F10" s="151"/>
      <c r="G10" s="174"/>
      <c r="H10" s="174"/>
      <c r="I10" s="174"/>
    </row>
    <row r="11" spans="1:9" ht="18" customHeight="1" x14ac:dyDescent="0.25">
      <c r="A11" s="151">
        <v>9</v>
      </c>
      <c r="B11" s="154" t="s">
        <v>15</v>
      </c>
      <c r="C11" s="154" t="s">
        <v>246</v>
      </c>
      <c r="D11" s="154" t="s">
        <v>160</v>
      </c>
      <c r="E11" s="151">
        <v>40</v>
      </c>
      <c r="F11" s="151">
        <v>40</v>
      </c>
      <c r="G11" s="174">
        <v>40</v>
      </c>
      <c r="H11" s="174"/>
      <c r="I11" s="174"/>
    </row>
    <row r="12" spans="1:9" ht="18" customHeight="1" x14ac:dyDescent="0.25">
      <c r="A12" s="151">
        <v>10</v>
      </c>
      <c r="B12" s="154" t="s">
        <v>391</v>
      </c>
      <c r="C12" s="154" t="s">
        <v>97</v>
      </c>
      <c r="D12" s="154" t="s">
        <v>392</v>
      </c>
      <c r="E12" s="151"/>
      <c r="F12" s="151"/>
      <c r="G12" s="174"/>
      <c r="H12" s="174"/>
      <c r="I12" s="174"/>
    </row>
    <row r="13" spans="1:9" ht="18" customHeight="1" x14ac:dyDescent="0.25">
      <c r="A13" s="151">
        <v>11</v>
      </c>
      <c r="B13" s="154" t="s">
        <v>395</v>
      </c>
      <c r="C13" s="154" t="s">
        <v>50</v>
      </c>
      <c r="D13" s="154" t="s">
        <v>396</v>
      </c>
      <c r="E13" s="151">
        <v>40</v>
      </c>
      <c r="F13" s="151">
        <v>40</v>
      </c>
      <c r="G13" s="174">
        <v>40</v>
      </c>
      <c r="H13" s="174">
        <v>40</v>
      </c>
      <c r="I13" s="174"/>
    </row>
    <row r="14" spans="1:9" ht="18" customHeight="1" x14ac:dyDescent="0.25">
      <c r="A14" s="151">
        <v>12</v>
      </c>
      <c r="B14" s="154" t="s">
        <v>398</v>
      </c>
      <c r="C14" s="154" t="s">
        <v>220</v>
      </c>
      <c r="D14" s="154" t="s">
        <v>399</v>
      </c>
      <c r="E14" s="151"/>
      <c r="F14" s="151"/>
      <c r="G14" s="174"/>
      <c r="H14" s="174"/>
      <c r="I14" s="174"/>
    </row>
    <row r="15" spans="1:9" ht="18" customHeight="1" x14ac:dyDescent="0.25">
      <c r="A15" s="151">
        <v>13</v>
      </c>
      <c r="B15" s="154" t="s">
        <v>238</v>
      </c>
      <c r="C15" s="154" t="s">
        <v>94</v>
      </c>
      <c r="D15" s="154" t="s">
        <v>400</v>
      </c>
      <c r="E15" s="151"/>
      <c r="F15" s="151"/>
      <c r="G15" s="174"/>
      <c r="H15" s="174"/>
      <c r="I15" s="174"/>
    </row>
    <row r="16" spans="1:9" ht="18" customHeight="1" x14ac:dyDescent="0.25">
      <c r="A16" s="151">
        <v>14</v>
      </c>
      <c r="B16" s="154" t="s">
        <v>401</v>
      </c>
      <c r="C16" s="154" t="s">
        <v>38</v>
      </c>
      <c r="D16" s="154" t="s">
        <v>402</v>
      </c>
      <c r="E16" s="151"/>
      <c r="F16" s="151"/>
      <c r="G16" s="174"/>
      <c r="H16" s="174"/>
      <c r="I16" s="174"/>
    </row>
    <row r="17" spans="1:9" ht="18" customHeight="1" x14ac:dyDescent="0.25">
      <c r="A17" s="151">
        <v>15</v>
      </c>
      <c r="B17" s="154" t="s">
        <v>53</v>
      </c>
      <c r="C17" s="154" t="s">
        <v>407</v>
      </c>
      <c r="D17" s="154" t="s">
        <v>445</v>
      </c>
      <c r="E17" s="151">
        <v>40</v>
      </c>
      <c r="F17" s="151"/>
      <c r="G17" s="174"/>
      <c r="H17" s="174"/>
      <c r="I17" s="174"/>
    </row>
    <row r="18" spans="1:9" ht="18" customHeight="1" x14ac:dyDescent="0.25">
      <c r="A18" s="151">
        <v>16</v>
      </c>
      <c r="B18" s="154" t="s">
        <v>410</v>
      </c>
      <c r="C18" s="154" t="s">
        <v>188</v>
      </c>
      <c r="D18" s="154" t="s">
        <v>411</v>
      </c>
      <c r="E18" s="151"/>
      <c r="F18" s="151"/>
      <c r="G18" s="174"/>
      <c r="H18" s="174"/>
      <c r="I18" s="174"/>
    </row>
    <row r="19" spans="1:9" ht="18" customHeight="1" x14ac:dyDescent="0.25">
      <c r="A19" s="151">
        <v>17</v>
      </c>
      <c r="B19" s="154" t="s">
        <v>412</v>
      </c>
      <c r="C19" s="154" t="s">
        <v>413</v>
      </c>
      <c r="D19" s="154" t="s">
        <v>414</v>
      </c>
      <c r="E19" s="151"/>
      <c r="F19" s="151"/>
      <c r="G19" s="174"/>
      <c r="H19" s="174"/>
      <c r="I19" s="174"/>
    </row>
    <row r="20" spans="1:9" ht="18" customHeight="1" x14ac:dyDescent="0.25">
      <c r="A20" s="151">
        <v>18</v>
      </c>
      <c r="B20" s="153" t="s">
        <v>20</v>
      </c>
      <c r="C20" s="153" t="s">
        <v>417</v>
      </c>
      <c r="D20" s="153" t="s">
        <v>250</v>
      </c>
      <c r="E20" s="151"/>
      <c r="F20" s="151"/>
      <c r="G20" s="174"/>
      <c r="H20" s="174"/>
      <c r="I20" s="174"/>
    </row>
    <row r="21" spans="1:9" ht="18" customHeight="1" x14ac:dyDescent="0.25">
      <c r="A21" s="151">
        <v>19</v>
      </c>
      <c r="B21" s="154" t="s">
        <v>420</v>
      </c>
      <c r="C21" s="154" t="s">
        <v>421</v>
      </c>
      <c r="D21" s="154" t="s">
        <v>422</v>
      </c>
      <c r="E21" s="151"/>
      <c r="F21" s="151"/>
      <c r="G21" s="174"/>
      <c r="H21" s="174"/>
      <c r="I21" s="174"/>
    </row>
    <row r="22" spans="1:9" ht="18" customHeight="1" x14ac:dyDescent="0.25">
      <c r="A22" s="151">
        <v>20</v>
      </c>
      <c r="B22" s="153" t="s">
        <v>55</v>
      </c>
      <c r="C22" s="153" t="s">
        <v>423</v>
      </c>
      <c r="D22" s="153" t="s">
        <v>424</v>
      </c>
      <c r="E22" s="151"/>
      <c r="F22" s="151"/>
      <c r="G22" s="174"/>
      <c r="H22" s="174"/>
      <c r="I22" s="174"/>
    </row>
    <row r="23" spans="1:9" ht="18" customHeight="1" x14ac:dyDescent="0.25">
      <c r="A23" s="151">
        <v>21</v>
      </c>
      <c r="B23" s="154" t="s">
        <v>430</v>
      </c>
      <c r="C23" s="154" t="s">
        <v>23</v>
      </c>
      <c r="D23" s="154" t="s">
        <v>431</v>
      </c>
      <c r="E23" s="151"/>
      <c r="F23" s="151"/>
      <c r="G23" s="174">
        <v>40</v>
      </c>
      <c r="H23" s="174"/>
      <c r="I23" s="174"/>
    </row>
    <row r="24" spans="1:9" ht="18" customHeight="1" x14ac:dyDescent="0.25">
      <c r="A24" s="151">
        <v>22</v>
      </c>
      <c r="B24" s="154" t="s">
        <v>75</v>
      </c>
      <c r="C24" s="154" t="s">
        <v>76</v>
      </c>
      <c r="D24" s="154" t="s">
        <v>427</v>
      </c>
      <c r="E24" s="151"/>
      <c r="F24" s="151"/>
      <c r="G24" s="174"/>
      <c r="H24" s="174"/>
      <c r="I24" s="174"/>
    </row>
    <row r="25" spans="1:9" ht="18" customHeight="1" x14ac:dyDescent="0.25">
      <c r="A25" s="151">
        <v>23</v>
      </c>
      <c r="B25" s="153" t="s">
        <v>57</v>
      </c>
      <c r="C25" s="153" t="s">
        <v>112</v>
      </c>
      <c r="D25" s="153" t="s">
        <v>113</v>
      </c>
      <c r="E25" s="151"/>
      <c r="F25" s="151"/>
      <c r="G25" s="174"/>
      <c r="H25" s="174"/>
      <c r="I25" s="174"/>
    </row>
    <row r="26" spans="1:9" ht="18" customHeight="1" x14ac:dyDescent="0.25">
      <c r="A26" s="151">
        <v>24</v>
      </c>
      <c r="B26" s="153" t="s">
        <v>372</v>
      </c>
      <c r="C26" s="153" t="s">
        <v>154</v>
      </c>
      <c r="D26" s="153" t="s">
        <v>373</v>
      </c>
      <c r="E26" s="151"/>
      <c r="F26" s="151"/>
      <c r="G26" s="174"/>
      <c r="H26" s="174"/>
      <c r="I26" s="174"/>
    </row>
    <row r="27" spans="1:9" ht="18" customHeight="1" x14ac:dyDescent="0.25">
      <c r="A27" s="151">
        <v>25</v>
      </c>
      <c r="B27" s="154" t="s">
        <v>432</v>
      </c>
      <c r="C27" s="154" t="s">
        <v>433</v>
      </c>
      <c r="D27" s="154" t="s">
        <v>434</v>
      </c>
      <c r="E27" s="151"/>
      <c r="F27" s="151"/>
      <c r="G27" s="174"/>
      <c r="H27" s="174"/>
      <c r="I27" s="174"/>
    </row>
    <row r="28" spans="1:9" ht="18" customHeight="1" x14ac:dyDescent="0.25">
      <c r="A28" s="151">
        <v>26</v>
      </c>
      <c r="B28" s="154" t="s">
        <v>312</v>
      </c>
      <c r="C28" s="154" t="s">
        <v>284</v>
      </c>
      <c r="D28" s="154" t="s">
        <v>378</v>
      </c>
      <c r="E28" s="151"/>
      <c r="F28" s="151"/>
      <c r="G28" s="174"/>
      <c r="H28" s="174"/>
      <c r="I28" s="174"/>
    </row>
    <row r="29" spans="1:9" ht="18" customHeight="1" x14ac:dyDescent="0.25">
      <c r="A29" s="151">
        <v>27</v>
      </c>
      <c r="B29" s="154" t="s">
        <v>435</v>
      </c>
      <c r="C29" s="154" t="s">
        <v>436</v>
      </c>
      <c r="D29" s="154" t="s">
        <v>437</v>
      </c>
      <c r="E29" s="151"/>
      <c r="F29" s="151"/>
      <c r="G29" s="174"/>
      <c r="H29" s="174"/>
      <c r="I29" s="174"/>
    </row>
    <row r="30" spans="1:9" ht="18" customHeight="1" x14ac:dyDescent="0.25">
      <c r="A30" s="151">
        <v>28</v>
      </c>
      <c r="B30" s="154" t="s">
        <v>61</v>
      </c>
      <c r="C30" s="154" t="s">
        <v>62</v>
      </c>
      <c r="D30" s="154" t="s">
        <v>438</v>
      </c>
      <c r="E30" s="151"/>
      <c r="F30" s="151"/>
      <c r="G30" s="174"/>
      <c r="H30" s="174"/>
      <c r="I30" s="174"/>
    </row>
    <row r="31" spans="1:9" ht="18" customHeight="1" x14ac:dyDescent="0.25">
      <c r="A31" s="151">
        <v>29</v>
      </c>
      <c r="B31" s="153" t="s">
        <v>214</v>
      </c>
      <c r="C31" s="153" t="s">
        <v>213</v>
      </c>
      <c r="D31" s="153" t="s">
        <v>385</v>
      </c>
      <c r="E31" s="151"/>
      <c r="F31" s="151"/>
      <c r="G31" s="174"/>
      <c r="H31" s="174"/>
      <c r="I31" s="174"/>
    </row>
    <row r="32" spans="1:9" ht="18" customHeight="1" x14ac:dyDescent="0.25">
      <c r="A32" s="151">
        <v>30</v>
      </c>
      <c r="B32" s="154" t="s">
        <v>393</v>
      </c>
      <c r="C32" s="154" t="s">
        <v>80</v>
      </c>
      <c r="D32" s="154" t="s">
        <v>394</v>
      </c>
      <c r="E32" s="151">
        <v>40</v>
      </c>
      <c r="F32" s="151"/>
      <c r="G32" s="174"/>
      <c r="H32" s="174"/>
      <c r="I32" s="174"/>
    </row>
    <row r="33" spans="1:9" ht="18" customHeight="1" x14ac:dyDescent="0.25">
      <c r="A33" s="151">
        <v>31</v>
      </c>
      <c r="B33" s="153" t="s">
        <v>322</v>
      </c>
      <c r="C33" s="153" t="s">
        <v>323</v>
      </c>
      <c r="D33" s="153" t="s">
        <v>419</v>
      </c>
      <c r="E33" s="151">
        <v>40</v>
      </c>
      <c r="F33" s="151">
        <v>40</v>
      </c>
      <c r="G33" s="174">
        <v>40</v>
      </c>
      <c r="H33" s="174"/>
      <c r="I33" s="174"/>
    </row>
    <row r="34" spans="1:9" ht="18" customHeight="1" x14ac:dyDescent="0.25">
      <c r="A34" s="151">
        <v>32</v>
      </c>
      <c r="B34" s="154" t="s">
        <v>64</v>
      </c>
      <c r="C34" s="154" t="s">
        <v>184</v>
      </c>
      <c r="D34" s="154" t="s">
        <v>397</v>
      </c>
      <c r="E34" s="151"/>
      <c r="F34" s="151"/>
      <c r="G34" s="174"/>
      <c r="H34" s="174"/>
      <c r="I34" s="174"/>
    </row>
    <row r="35" spans="1:9" ht="18" customHeight="1" x14ac:dyDescent="0.25">
      <c r="A35" s="151">
        <v>33</v>
      </c>
      <c r="B35" s="154" t="s">
        <v>403</v>
      </c>
      <c r="C35" s="154" t="s">
        <v>404</v>
      </c>
      <c r="D35" s="154" t="s">
        <v>405</v>
      </c>
      <c r="E35" s="151"/>
      <c r="F35" s="151"/>
      <c r="G35" s="174"/>
      <c r="H35" s="174"/>
      <c r="I35" s="174"/>
    </row>
    <row r="36" spans="1:9" ht="18" customHeight="1" x14ac:dyDescent="0.25">
      <c r="A36" s="151">
        <v>34</v>
      </c>
      <c r="B36" s="153" t="s">
        <v>98</v>
      </c>
      <c r="C36" s="153" t="s">
        <v>99</v>
      </c>
      <c r="D36" s="153" t="s">
        <v>406</v>
      </c>
      <c r="E36" s="151"/>
      <c r="F36" s="151"/>
      <c r="G36" s="174"/>
      <c r="H36" s="174"/>
      <c r="I36" s="174"/>
    </row>
    <row r="37" spans="1:9" ht="18" customHeight="1" x14ac:dyDescent="0.25">
      <c r="A37" s="151">
        <v>35</v>
      </c>
      <c r="B37" s="154" t="s">
        <v>415</v>
      </c>
      <c r="C37" s="154" t="s">
        <v>30</v>
      </c>
      <c r="D37" s="154" t="s">
        <v>416</v>
      </c>
      <c r="E37" s="151"/>
      <c r="F37" s="151"/>
      <c r="G37" s="174"/>
      <c r="H37" s="174"/>
      <c r="I37" s="174"/>
    </row>
    <row r="38" spans="1:9" ht="18" customHeight="1" x14ac:dyDescent="0.25">
      <c r="A38" s="151">
        <v>36</v>
      </c>
      <c r="B38" s="153" t="s">
        <v>31</v>
      </c>
      <c r="C38" s="153" t="s">
        <v>32</v>
      </c>
      <c r="D38" s="153" t="s">
        <v>418</v>
      </c>
      <c r="E38" s="151"/>
      <c r="F38" s="151">
        <v>40</v>
      </c>
      <c r="G38" s="174"/>
      <c r="H38" s="174"/>
      <c r="I38" s="174"/>
    </row>
    <row r="39" spans="1:9" ht="18" customHeight="1" x14ac:dyDescent="0.25">
      <c r="A39" s="151">
        <v>37</v>
      </c>
      <c r="B39" s="153" t="s">
        <v>82</v>
      </c>
      <c r="C39" s="153" t="s">
        <v>425</v>
      </c>
      <c r="D39" s="153" t="s">
        <v>426</v>
      </c>
      <c r="E39" s="151">
        <v>40</v>
      </c>
      <c r="F39" s="151">
        <v>40</v>
      </c>
      <c r="G39" s="174">
        <v>40</v>
      </c>
      <c r="H39" s="174"/>
      <c r="I39" s="174"/>
    </row>
    <row r="40" spans="1:9" ht="18" customHeight="1" x14ac:dyDescent="0.25">
      <c r="A40" s="151">
        <v>38</v>
      </c>
      <c r="B40" s="154" t="s">
        <v>308</v>
      </c>
      <c r="C40" s="154" t="s">
        <v>428</v>
      </c>
      <c r="D40" s="154" t="s">
        <v>429</v>
      </c>
      <c r="E40" s="151"/>
      <c r="F40" s="151"/>
      <c r="G40" s="174"/>
      <c r="H40" s="174"/>
      <c r="I40" s="174"/>
    </row>
    <row r="41" spans="1:9" ht="18" customHeight="1" x14ac:dyDescent="0.25">
      <c r="A41" s="151">
        <v>39</v>
      </c>
      <c r="B41" s="154" t="s">
        <v>439</v>
      </c>
      <c r="C41" s="154" t="s">
        <v>84</v>
      </c>
      <c r="D41" s="154" t="s">
        <v>440</v>
      </c>
      <c r="E41" s="151"/>
      <c r="F41" s="151"/>
      <c r="G41" s="174"/>
      <c r="H41" s="174"/>
      <c r="I41" s="174"/>
    </row>
    <row r="42" spans="1:9" ht="18" customHeight="1" x14ac:dyDescent="0.25">
      <c r="A42" s="151">
        <v>40</v>
      </c>
      <c r="B42" s="154" t="s">
        <v>85</v>
      </c>
      <c r="C42" s="154" t="s">
        <v>441</v>
      </c>
      <c r="D42" s="154" t="s">
        <v>321</v>
      </c>
      <c r="E42" s="151"/>
      <c r="F42" s="151"/>
      <c r="G42" s="174"/>
      <c r="H42" s="174"/>
      <c r="I42" s="174"/>
    </row>
    <row r="43" spans="1:9" ht="18" customHeight="1" x14ac:dyDescent="0.25">
      <c r="A43" s="151">
        <v>41</v>
      </c>
      <c r="B43" s="153" t="s">
        <v>33</v>
      </c>
      <c r="C43" s="153" t="s">
        <v>34</v>
      </c>
      <c r="D43" s="153" t="s">
        <v>442</v>
      </c>
      <c r="E43" s="151"/>
      <c r="F43" s="151"/>
      <c r="G43" s="174"/>
      <c r="H43" s="174"/>
      <c r="I43" s="174"/>
    </row>
    <row r="44" spans="1:9" ht="18" customHeight="1" x14ac:dyDescent="0.25">
      <c r="A44" s="151">
        <v>42</v>
      </c>
      <c r="B44" s="154" t="s">
        <v>443</v>
      </c>
      <c r="C44" s="154" t="s">
        <v>67</v>
      </c>
      <c r="D44" s="154" t="s">
        <v>444</v>
      </c>
      <c r="E44" s="151"/>
      <c r="F44" s="151"/>
      <c r="G44" s="174"/>
      <c r="H44" s="174"/>
      <c r="I44" s="174"/>
    </row>
    <row r="45" spans="1:9" ht="18" customHeight="1" x14ac:dyDescent="0.25">
      <c r="A45" s="151">
        <v>43</v>
      </c>
      <c r="B45" s="154" t="s">
        <v>245</v>
      </c>
      <c r="C45" s="154" t="s">
        <v>68</v>
      </c>
      <c r="D45" s="154" t="s">
        <v>374</v>
      </c>
      <c r="E45" s="151"/>
      <c r="F45" s="151"/>
      <c r="G45" s="174"/>
      <c r="H45" s="174"/>
      <c r="I45" s="174"/>
    </row>
    <row r="46" spans="1:9" ht="18" customHeight="1" x14ac:dyDescent="0.25">
      <c r="A46" s="151">
        <v>44</v>
      </c>
      <c r="B46" s="154" t="s">
        <v>128</v>
      </c>
      <c r="C46" s="154" t="s">
        <v>129</v>
      </c>
      <c r="D46" s="154" t="s">
        <v>380</v>
      </c>
      <c r="E46" s="151">
        <v>20</v>
      </c>
      <c r="F46" s="151"/>
      <c r="G46" s="174"/>
      <c r="H46" s="174"/>
      <c r="I46" s="174"/>
    </row>
    <row r="47" spans="1:9" ht="18" customHeight="1" x14ac:dyDescent="0.25">
      <c r="A47" s="151">
        <v>45</v>
      </c>
      <c r="B47" s="154" t="s">
        <v>389</v>
      </c>
      <c r="C47" s="154" t="s">
        <v>201</v>
      </c>
      <c r="D47" s="154" t="s">
        <v>390</v>
      </c>
      <c r="E47" s="151"/>
      <c r="F47" s="151"/>
      <c r="G47" s="174"/>
      <c r="H47" s="174"/>
      <c r="I47" s="174"/>
    </row>
    <row r="48" spans="1:9" ht="18" customHeight="1" x14ac:dyDescent="0.25">
      <c r="A48" s="151">
        <v>46</v>
      </c>
      <c r="B48" s="154" t="s">
        <v>408</v>
      </c>
      <c r="C48" s="154" t="s">
        <v>70</v>
      </c>
      <c r="D48" s="154" t="s">
        <v>409</v>
      </c>
      <c r="E48" s="151">
        <v>40</v>
      </c>
      <c r="F48" s="151"/>
      <c r="G48" s="174"/>
      <c r="H48" s="174"/>
      <c r="I48" s="174"/>
    </row>
    <row r="49" spans="1:13" ht="18" customHeight="1" x14ac:dyDescent="0.25">
      <c r="A49" s="151">
        <v>47</v>
      </c>
      <c r="B49" s="154" t="s">
        <v>450</v>
      </c>
      <c r="C49" s="154" t="s">
        <v>8</v>
      </c>
      <c r="D49" s="154" t="s">
        <v>451</v>
      </c>
      <c r="E49" s="151"/>
      <c r="F49" s="151">
        <v>40</v>
      </c>
      <c r="G49" s="174">
        <v>40</v>
      </c>
      <c r="H49" s="174">
        <v>40</v>
      </c>
      <c r="I49" s="174"/>
    </row>
    <row r="50" spans="1:13" ht="18" customHeight="1" x14ac:dyDescent="0.25">
      <c r="A50" s="151">
        <v>48</v>
      </c>
      <c r="B50" s="154" t="s">
        <v>472</v>
      </c>
      <c r="C50" s="154" t="s">
        <v>473</v>
      </c>
      <c r="D50" s="154" t="s">
        <v>474</v>
      </c>
      <c r="E50" s="151"/>
      <c r="F50" s="151">
        <v>40</v>
      </c>
      <c r="G50" s="174">
        <v>40</v>
      </c>
      <c r="H50" s="174"/>
      <c r="I50" s="174"/>
    </row>
    <row r="51" spans="1:13" ht="15" x14ac:dyDescent="0.25">
      <c r="A51" s="151"/>
      <c r="B51" s="151" t="s">
        <v>446</v>
      </c>
      <c r="C51" s="151"/>
      <c r="D51" s="151"/>
      <c r="E51" s="151">
        <f>SUM(E3:E49)</f>
        <v>420</v>
      </c>
      <c r="F51" s="151">
        <f>SUM(F3:F50)</f>
        <v>320</v>
      </c>
      <c r="G51" s="174">
        <f>SUM(G3:G50)</f>
        <v>320</v>
      </c>
      <c r="H51" s="174">
        <f>SUM(H3:H49)</f>
        <v>80</v>
      </c>
      <c r="I51" s="174">
        <f>SUM(I3:I49)</f>
        <v>0</v>
      </c>
      <c r="M51" s="175"/>
    </row>
    <row r="53" spans="1:13" x14ac:dyDescent="0.2">
      <c r="B53" s="149" t="s">
        <v>465</v>
      </c>
      <c r="I53" s="149">
        <f>SUM(E51:I51)</f>
        <v>1140</v>
      </c>
      <c r="K53" s="175" t="s">
        <v>234</v>
      </c>
    </row>
    <row r="54" spans="1:13" x14ac:dyDescent="0.2">
      <c r="B54" s="149" t="s">
        <v>461</v>
      </c>
      <c r="C54" s="149">
        <v>150</v>
      </c>
      <c r="K54" s="175">
        <f>I53-I57</f>
        <v>790</v>
      </c>
    </row>
    <row r="55" spans="1:13" x14ac:dyDescent="0.2">
      <c r="B55" s="149" t="s">
        <v>462</v>
      </c>
      <c r="C55" s="149">
        <v>50</v>
      </c>
    </row>
    <row r="56" spans="1:13" x14ac:dyDescent="0.2">
      <c r="B56" s="149" t="s">
        <v>463</v>
      </c>
      <c r="C56" s="149">
        <v>150</v>
      </c>
      <c r="I56" s="149" t="s">
        <v>464</v>
      </c>
    </row>
    <row r="57" spans="1:13" x14ac:dyDescent="0.2">
      <c r="D57" s="149">
        <f>SUM(C54:C56)</f>
        <v>350</v>
      </c>
      <c r="I57" s="149">
        <f>D57</f>
        <v>350</v>
      </c>
    </row>
  </sheetData>
  <sortState xmlns:xlrd2="http://schemas.microsoft.com/office/spreadsheetml/2017/richdata2" ref="A3:F51">
    <sortCondition ref="B1:B51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1ERO. BÁSICO</vt:lpstr>
      <vt:lpstr>2DO. BÁSICO</vt:lpstr>
      <vt:lpstr>3ERO. BÁSICO</vt:lpstr>
      <vt:lpstr>4TO. BACHILLERATO</vt:lpstr>
      <vt:lpstr>5TO. BACHILLERATO</vt:lpstr>
      <vt:lpstr>RESUMEN</vt:lpstr>
      <vt:lpstr>INSCRIPCIÓN 2DO</vt:lpstr>
      <vt:lpstr>MULTAS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FKJ-Oficina</dc:creator>
  <cp:lastModifiedBy>elizabeth.saban2008@hotmail.com</cp:lastModifiedBy>
  <cp:lastPrinted>2025-09-01T16:16:35Z</cp:lastPrinted>
  <dcterms:created xsi:type="dcterms:W3CDTF">2024-11-20T21:53:53Z</dcterms:created>
  <dcterms:modified xsi:type="dcterms:W3CDTF">2025-09-09T13:28:06Z</dcterms:modified>
</cp:coreProperties>
</file>