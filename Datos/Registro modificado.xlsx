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BEDB0490-B114-4DCD-9618-6CF07FF0E6B2}" xr6:coauthVersionLast="47" xr6:coauthVersionMax="47" xr10:uidLastSave="{00000000-0000-0000-0000-000000000000}"/>
  <bookViews>
    <workbookView xWindow="-120" yWindow="-120" windowWidth="24240" windowHeight="13020" firstSheet="2" activeTab="7" xr2:uid="{E9AA2BAF-2EBE-4308-88D6-1E03A5F7B872}"/>
  </bookViews>
  <sheets>
    <sheet name="1ERO. BÁSICO" sheetId="1" r:id="rId1"/>
    <sheet name="2DO. BÁSICO" sheetId="2" r:id="rId2"/>
    <sheet name="3ERO. BÁSICO" sheetId="4" r:id="rId3"/>
    <sheet name="4TO. BACHILLERATO" sheetId="5" r:id="rId4"/>
    <sheet name="5TO. BACHILLERATO" sheetId="6" r:id="rId5"/>
    <sheet name="RESUMEN" sheetId="9" r:id="rId6"/>
    <sheet name="Para administración" sheetId="10" r:id="rId7"/>
    <sheet name="Inscripción 2024" sheetId="13" r:id="rId8"/>
    <sheet name="INSCRIPCIÓN ENERO" sheetId="16" r:id="rId9"/>
  </sheets>
  <definedNames>
    <definedName name="_xlnm._FilterDatabase" localSheetId="0" hidden="1">'1ERO. BÁSICO'!$A$1:$Z$32</definedName>
    <definedName name="_xlnm._FilterDatabase" localSheetId="1" hidden="1">'2DO. BÁSICO'!$A$2:$M$32</definedName>
    <definedName name="_xlnm._FilterDatabase" localSheetId="2" hidden="1">'3ERO. BÁSICO'!$A$2:$Z$26</definedName>
    <definedName name="_xlnm.Print_Area" localSheetId="8">'INSCRIPCIÓN ENERO'!$A$1:$G$86</definedName>
    <definedName name="_xlnm.Print_Area" localSheetId="6">'Para administración'!$A$1:$N$186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6" l="1"/>
  <c r="D7" i="6"/>
  <c r="D8" i="6"/>
  <c r="D9" i="6"/>
  <c r="D5" i="6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5" i="5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5" i="4"/>
  <c r="D6" i="4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5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5" i="1"/>
  <c r="M186" i="10"/>
  <c r="M185" i="10"/>
  <c r="M184" i="10"/>
  <c r="M183" i="10"/>
  <c r="M182" i="10"/>
  <c r="M181" i="10"/>
  <c r="M133" i="10"/>
  <c r="M118" i="10"/>
  <c r="M82" i="10"/>
  <c r="M32" i="10"/>
  <c r="M148" i="10"/>
  <c r="N124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99" i="10"/>
  <c r="H32" i="2"/>
  <c r="L133" i="10"/>
  <c r="L184" i="10" s="1"/>
  <c r="O117" i="10"/>
  <c r="L118" i="10"/>
  <c r="L183" i="10" s="1"/>
  <c r="L82" i="10"/>
  <c r="L182" i="10" s="1"/>
  <c r="L32" i="10"/>
  <c r="N29" i="10"/>
  <c r="L181" i="10"/>
  <c r="N10" i="10"/>
  <c r="L148" i="10"/>
  <c r="L185" i="10" s="1"/>
  <c r="N123" i="10"/>
  <c r="N59" i="10"/>
  <c r="N64" i="10"/>
  <c r="O64" i="10" s="1"/>
  <c r="D148" i="10"/>
  <c r="D185" i="10" s="1"/>
  <c r="D133" i="10"/>
  <c r="D184" i="10" s="1"/>
  <c r="D118" i="10"/>
  <c r="D183" i="10" s="1"/>
  <c r="D82" i="10"/>
  <c r="D182" i="10" s="1"/>
  <c r="P148" i="10"/>
  <c r="P185" i="10" s="1"/>
  <c r="P133" i="10"/>
  <c r="P184" i="10" s="1"/>
  <c r="P118" i="10"/>
  <c r="P183" i="10" s="1"/>
  <c r="P82" i="10"/>
  <c r="P182" i="10" s="1"/>
  <c r="N80" i="10"/>
  <c r="O80" i="10" s="1"/>
  <c r="N81" i="10"/>
  <c r="O81" i="10" s="1"/>
  <c r="D32" i="10"/>
  <c r="D181" i="10" s="1"/>
  <c r="P32" i="10"/>
  <c r="P181" i="10" s="1"/>
  <c r="K148" i="10"/>
  <c r="K185" i="10" s="1"/>
  <c r="K133" i="10"/>
  <c r="K184" i="10" s="1"/>
  <c r="K82" i="10"/>
  <c r="K182" i="10" s="1"/>
  <c r="K118" i="10"/>
  <c r="K183" i="10" s="1"/>
  <c r="L186" i="10" l="1"/>
  <c r="N118" i="10"/>
  <c r="N183" i="10" s="1"/>
  <c r="P186" i="10"/>
  <c r="D186" i="10"/>
  <c r="N31" i="10"/>
  <c r="O31" i="10" s="1"/>
  <c r="K32" i="10"/>
  <c r="K181" i="10" s="1"/>
  <c r="K186" i="10" s="1"/>
  <c r="A32" i="10"/>
  <c r="C181" i="10" s="1"/>
  <c r="A32" i="1"/>
  <c r="B5" i="9" s="1"/>
  <c r="E67" i="16"/>
  <c r="A25" i="16"/>
  <c r="C68" i="16"/>
  <c r="C67" i="16"/>
  <c r="D62" i="16"/>
  <c r="E71" i="16" s="1"/>
  <c r="D54" i="16"/>
  <c r="E70" i="16" s="1"/>
  <c r="D35" i="16"/>
  <c r="E69" i="16" s="1"/>
  <c r="D25" i="16"/>
  <c r="E68" i="16" s="1"/>
  <c r="A62" i="16"/>
  <c r="C71" i="16" s="1"/>
  <c r="A54" i="16"/>
  <c r="C70" i="16" s="1"/>
  <c r="A35" i="16"/>
  <c r="C69" i="16" s="1"/>
  <c r="D11" i="16"/>
  <c r="A11" i="16"/>
  <c r="J133" i="10"/>
  <c r="J184" i="10" s="1"/>
  <c r="J118" i="10"/>
  <c r="J82" i="10"/>
  <c r="J182" i="10" s="1"/>
  <c r="J32" i="10"/>
  <c r="J181" i="10" s="1"/>
  <c r="D6" i="9"/>
  <c r="A82" i="10"/>
  <c r="C182" i="10" s="1"/>
  <c r="A32" i="2"/>
  <c r="B6" i="9" s="1"/>
  <c r="N132" i="10"/>
  <c r="O132" i="10" s="1"/>
  <c r="A133" i="10"/>
  <c r="H19" i="5"/>
  <c r="D8" i="9" s="1"/>
  <c r="A19" i="5"/>
  <c r="N122" i="10"/>
  <c r="O122" i="10" s="1"/>
  <c r="O123" i="10"/>
  <c r="O124" i="10"/>
  <c r="N125" i="10"/>
  <c r="O125" i="10" s="1"/>
  <c r="N126" i="10"/>
  <c r="O126" i="10" s="1"/>
  <c r="N127" i="10"/>
  <c r="O127" i="10" s="1"/>
  <c r="N128" i="10"/>
  <c r="O128" i="10" s="1"/>
  <c r="N129" i="10"/>
  <c r="O129" i="10" s="1"/>
  <c r="N130" i="10"/>
  <c r="O130" i="10" s="1"/>
  <c r="N131" i="10"/>
  <c r="O131" i="10" s="1"/>
  <c r="N121" i="10"/>
  <c r="O121" i="10" s="1"/>
  <c r="A118" i="10"/>
  <c r="C183" i="10" s="1"/>
  <c r="H26" i="4"/>
  <c r="D7" i="9" s="1"/>
  <c r="A26" i="4"/>
  <c r="J148" i="10"/>
  <c r="J185" i="10" s="1"/>
  <c r="N144" i="10"/>
  <c r="O144" i="10" s="1"/>
  <c r="N145" i="10"/>
  <c r="O145" i="10" s="1"/>
  <c r="N146" i="10"/>
  <c r="O146" i="10" s="1"/>
  <c r="N147" i="10"/>
  <c r="O147" i="10" s="1"/>
  <c r="N143" i="10"/>
  <c r="O143" i="10" s="1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N54" i="10"/>
  <c r="O54" i="10" s="1"/>
  <c r="N55" i="10"/>
  <c r="O55" i="10" s="1"/>
  <c r="N56" i="10"/>
  <c r="O56" i="10" s="1"/>
  <c r="N57" i="10"/>
  <c r="O57" i="10" s="1"/>
  <c r="N58" i="10"/>
  <c r="O58" i="10" s="1"/>
  <c r="O59" i="10"/>
  <c r="N60" i="10"/>
  <c r="O60" i="10" s="1"/>
  <c r="N61" i="10"/>
  <c r="O61" i="10" s="1"/>
  <c r="N62" i="10"/>
  <c r="O62" i="10" s="1"/>
  <c r="N63" i="10"/>
  <c r="O63" i="10" s="1"/>
  <c r="N65" i="10"/>
  <c r="O65" i="10" s="1"/>
  <c r="N66" i="10"/>
  <c r="O66" i="10" s="1"/>
  <c r="N67" i="10"/>
  <c r="O67" i="10" s="1"/>
  <c r="N68" i="10"/>
  <c r="O68" i="10" s="1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N78" i="10"/>
  <c r="O78" i="10" s="1"/>
  <c r="N79" i="10"/>
  <c r="O79" i="10" s="1"/>
  <c r="N6" i="10"/>
  <c r="O6" i="10" s="1"/>
  <c r="N7" i="10"/>
  <c r="O7" i="10" s="1"/>
  <c r="N8" i="10"/>
  <c r="O8" i="10" s="1"/>
  <c r="N9" i="10"/>
  <c r="O9" i="10" s="1"/>
  <c r="O10" i="10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O29" i="10"/>
  <c r="N30" i="10"/>
  <c r="O30" i="10" s="1"/>
  <c r="N5" i="10"/>
  <c r="I133" i="10"/>
  <c r="I118" i="10"/>
  <c r="I183" i="10" s="1"/>
  <c r="I82" i="10"/>
  <c r="I182" i="10" s="1"/>
  <c r="I32" i="10"/>
  <c r="H32" i="1"/>
  <c r="D5" i="9" s="1"/>
  <c r="H10" i="6"/>
  <c r="D9" i="9" s="1"/>
  <c r="I148" i="10"/>
  <c r="C114" i="13"/>
  <c r="E113" i="13"/>
  <c r="E112" i="13"/>
  <c r="E110" i="13"/>
  <c r="E111" i="13"/>
  <c r="E109" i="13"/>
  <c r="H133" i="10"/>
  <c r="H184" i="10" s="1"/>
  <c r="H32" i="10"/>
  <c r="H181" i="10" s="1"/>
  <c r="H118" i="10"/>
  <c r="H183" i="10" s="1"/>
  <c r="H82" i="10"/>
  <c r="H182" i="10" s="1"/>
  <c r="H148" i="10"/>
  <c r="H185" i="10" s="1"/>
  <c r="G118" i="10"/>
  <c r="G183" i="10" s="1"/>
  <c r="B7" i="9"/>
  <c r="G82" i="10"/>
  <c r="G182" i="10" s="1"/>
  <c r="G32" i="10"/>
  <c r="G181" i="10" s="1"/>
  <c r="G148" i="10"/>
  <c r="G185" i="10" s="1"/>
  <c r="G133" i="10"/>
  <c r="G184" i="10" s="1"/>
  <c r="F148" i="10"/>
  <c r="F185" i="10" s="1"/>
  <c r="E148" i="10"/>
  <c r="A148" i="10"/>
  <c r="C185" i="10" s="1"/>
  <c r="F133" i="10"/>
  <c r="F184" i="10" s="1"/>
  <c r="F118" i="10"/>
  <c r="F183" i="10" s="1"/>
  <c r="F82" i="10"/>
  <c r="F182" i="10" s="1"/>
  <c r="F32" i="10"/>
  <c r="F181" i="10" s="1"/>
  <c r="Z23" i="2"/>
  <c r="Z24" i="2"/>
  <c r="Z25" i="2"/>
  <c r="Z26" i="2"/>
  <c r="Z27" i="2"/>
  <c r="Z28" i="2"/>
  <c r="Z25" i="1"/>
  <c r="Z26" i="1"/>
  <c r="Z27" i="1"/>
  <c r="Z28" i="1"/>
  <c r="Z9" i="6"/>
  <c r="Z8" i="6"/>
  <c r="Z7" i="6"/>
  <c r="Z10" i="6" s="1"/>
  <c r="Z6" i="6"/>
  <c r="Z5" i="6"/>
  <c r="Z13" i="5"/>
  <c r="Z12" i="5"/>
  <c r="Z11" i="5"/>
  <c r="Z10" i="5"/>
  <c r="Z9" i="5"/>
  <c r="Z8" i="5"/>
  <c r="Z7" i="5"/>
  <c r="Z6" i="5"/>
  <c r="Z5" i="5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5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6" i="4"/>
  <c r="I19" i="5"/>
  <c r="E8" i="9" s="1"/>
  <c r="E133" i="10"/>
  <c r="E184" i="10" s="1"/>
  <c r="E118" i="10"/>
  <c r="E183" i="10" s="1"/>
  <c r="E82" i="10"/>
  <c r="E182" i="10" s="1"/>
  <c r="E32" i="10"/>
  <c r="E181" i="10" s="1"/>
  <c r="I26" i="4"/>
  <c r="E7" i="9" s="1"/>
  <c r="I10" i="6"/>
  <c r="E9" i="9" s="1"/>
  <c r="A10" i="6"/>
  <c r="B9" i="9" s="1"/>
  <c r="I32" i="2"/>
  <c r="E6" i="9" s="1"/>
  <c r="I32" i="1"/>
  <c r="E5" i="9" s="1"/>
  <c r="O5" i="10" l="1"/>
  <c r="N32" i="10"/>
  <c r="N181" i="10" s="1"/>
  <c r="N148" i="10"/>
  <c r="N185" i="10" s="1"/>
  <c r="C72" i="16"/>
  <c r="E72" i="16"/>
  <c r="N133" i="10"/>
  <c r="N184" i="10" s="1"/>
  <c r="N82" i="10"/>
  <c r="N182" i="10" s="1"/>
  <c r="O182" i="10" s="1"/>
  <c r="J183" i="10"/>
  <c r="J186" i="10" s="1"/>
  <c r="I184" i="10"/>
  <c r="O184" i="10" s="1"/>
  <c r="I185" i="10"/>
  <c r="I181" i="10"/>
  <c r="E114" i="13"/>
  <c r="C117" i="13" s="1"/>
  <c r="C118" i="13" s="1"/>
  <c r="D10" i="9"/>
  <c r="Z19" i="5"/>
  <c r="H186" i="10"/>
  <c r="G186" i="10"/>
  <c r="Z26" i="4"/>
  <c r="Z32" i="2"/>
  <c r="F186" i="10"/>
  <c r="C184" i="10"/>
  <c r="C186" i="10" s="1"/>
  <c r="Z32" i="1"/>
  <c r="B8" i="9"/>
  <c r="B10" i="9" s="1"/>
  <c r="E186" i="10"/>
  <c r="E10" i="9"/>
  <c r="O181" i="10" l="1"/>
  <c r="O185" i="10"/>
  <c r="O183" i="10"/>
  <c r="I186" i="10"/>
  <c r="N186" i="10" l="1"/>
  <c r="O18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9" authorId="0" shapeId="0" xr:uid="{87142648-BC94-4C26-B370-627ACAA69C34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100 el 6 de diciembre
</t>
        </r>
      </text>
    </comment>
    <comment ref="H10" authorId="0" shapeId="0" xr:uid="{F9E6B026-C4ED-4ABB-8A65-F718A4A42DFB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12 de diciembre
</t>
        </r>
      </text>
    </comment>
    <comment ref="H13" authorId="0" shapeId="0" xr:uid="{3B87D07B-0D7C-4981-80CE-C0978EE48D4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3 de diciembre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20" authorId="0" shapeId="0" xr:uid="{810B6C80-72E5-4150-9E25-8E4F6A26BB91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300 el 9 de diciembre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B6" authorId="0" shapeId="0" xr:uid="{E5AA1D2A-32E5-4889-AF8C-7FFA5D1F0AC3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De color azul, han pagado mensualidad</t>
        </r>
      </text>
    </comment>
    <comment ref="H8" authorId="0" shapeId="0" xr:uid="{06E2F131-240C-42C3-B127-19FFD087EEE4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100 el 6 de diciembre
</t>
        </r>
      </text>
    </comment>
    <comment ref="H13" authorId="0" shapeId="0" xr:uid="{9D4E7D99-70DC-4DEF-B868-EFD38FDC8FE2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200 el 10 de diciembre
</t>
        </r>
      </text>
    </comment>
    <comment ref="H22" authorId="0" shapeId="0" xr:uid="{4216F795-F701-46D7-8997-74D03AB18D5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300 el 13 de diciembre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13" authorId="0" shapeId="0" xr:uid="{77651899-AE55-49D5-B273-39A7B0B222E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Pagó la inscripción del 2do. Semestre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7" authorId="0" shapeId="0" xr:uid="{CA607BBC-AEAE-48A9-8AD7-AB987FC4709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Pago segundo semestre de inscripción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A100" authorId="0" shapeId="0" xr:uid="{67CCB6BC-559B-4FF8-B698-829E137A3012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Retirada</t>
        </r>
      </text>
    </comment>
    <comment ref="K186" authorId="0" shapeId="0" xr:uid="{63428E2F-FD5C-42E4-AC30-11EF23D583A3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De este dinero saqué 300 de devolución a la estudiante retirada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D25" authorId="0" shapeId="0" xr:uid="{025710EE-2BFE-480D-A6DB-B440C0BD0C2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No la aceptaron en IGER</t>
        </r>
      </text>
    </comment>
    <comment ref="A63" authorId="0" shapeId="0" xr:uid="{524D290D-2925-4503-B07B-88AF1511B8B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Retirada</t>
        </r>
      </text>
    </comment>
    <comment ref="A67" authorId="0" shapeId="0" xr:uid="{C40F7611-D82A-47EE-93D7-BF168F1FB209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No aprobó 2do básico</t>
        </r>
      </text>
    </comment>
  </commentList>
</comments>
</file>

<file path=xl/sharedStrings.xml><?xml version="1.0" encoding="utf-8"?>
<sst xmlns="http://schemas.openxmlformats.org/spreadsheetml/2006/main" count="1126" uniqueCount="497">
  <si>
    <t>REGISTRO DE ESTUDIANTES INSCRITOS AL CENTRO DE FORMACIÓN K'ARMEL JUYUP'</t>
  </si>
  <si>
    <t>AÑO ESCOLAR 2025</t>
  </si>
  <si>
    <t>Álvarez de la Cruz</t>
  </si>
  <si>
    <t>Astrid Dayana</t>
  </si>
  <si>
    <t>Ana Camila Suceth</t>
  </si>
  <si>
    <t xml:space="preserve">Armis </t>
  </si>
  <si>
    <t>Ángel Manuel</t>
  </si>
  <si>
    <t xml:space="preserve">Batres Echeverria </t>
  </si>
  <si>
    <t>Marco Antonio</t>
  </si>
  <si>
    <t>Bonilla</t>
  </si>
  <si>
    <t>Jhorgeysil Ayleen</t>
  </si>
  <si>
    <t>Flores Soyoy</t>
  </si>
  <si>
    <t xml:space="preserve">Angie Delyanne </t>
  </si>
  <si>
    <t>Gómez Rodríguez</t>
  </si>
  <si>
    <t>Abi Michelle</t>
  </si>
  <si>
    <t>González Sí</t>
  </si>
  <si>
    <t xml:space="preserve">Jiménez Soyoy </t>
  </si>
  <si>
    <t>Sharon Alejandra</t>
  </si>
  <si>
    <t>Juárez Escalante</t>
  </si>
  <si>
    <t>Lisandro Saúl</t>
  </si>
  <si>
    <t>Macario Vicente</t>
  </si>
  <si>
    <t>Rosa María</t>
  </si>
  <si>
    <t xml:space="preserve">Mateo Sapón </t>
  </si>
  <si>
    <t>Tomás Santiago</t>
  </si>
  <si>
    <t>Austin Daniel</t>
  </si>
  <si>
    <t>Natareno Toc</t>
  </si>
  <si>
    <t>Jeffrey Mateo</t>
  </si>
  <si>
    <t>Patzán Hernández</t>
  </si>
  <si>
    <t>Mario Martín</t>
  </si>
  <si>
    <t>Rodas Zurdo</t>
  </si>
  <si>
    <t>Romero Méndez</t>
  </si>
  <si>
    <t>Katherine Mariana</t>
  </si>
  <si>
    <t>Roquel Caniche</t>
  </si>
  <si>
    <t>Edwin David</t>
  </si>
  <si>
    <t>Soc Grande</t>
  </si>
  <si>
    <t>Norman Isaac</t>
  </si>
  <si>
    <t>Rivas Velásquez</t>
  </si>
  <si>
    <t>Contreras Corea</t>
  </si>
  <si>
    <t>Alberth de Jesús</t>
  </si>
  <si>
    <t>Antoni Vinicio</t>
  </si>
  <si>
    <t xml:space="preserve">Nombre </t>
  </si>
  <si>
    <t xml:space="preserve">Apellidos </t>
  </si>
  <si>
    <t xml:space="preserve">Edad </t>
  </si>
  <si>
    <t xml:space="preserve">Papelería </t>
  </si>
  <si>
    <t xml:space="preserve">Aporte </t>
  </si>
  <si>
    <t>Aporte pendiente</t>
  </si>
  <si>
    <t xml:space="preserve">% Beca </t>
  </si>
  <si>
    <t>Recibo N°</t>
  </si>
  <si>
    <t>N°</t>
  </si>
  <si>
    <t>Carrera Lobos</t>
  </si>
  <si>
    <t xml:space="preserve">Mia Scarlet Susana                                                             </t>
  </si>
  <si>
    <t>Chocoj Rodríguez</t>
  </si>
  <si>
    <t>Candy Mishelle</t>
  </si>
  <si>
    <t>Fernández Raymundo</t>
  </si>
  <si>
    <t>Daniela Jimena</t>
  </si>
  <si>
    <t>Hernández Mendoza</t>
  </si>
  <si>
    <t>Adam Carlos Enrique</t>
  </si>
  <si>
    <t>Hernández Vargas</t>
  </si>
  <si>
    <t>Kareli Nicoll</t>
  </si>
  <si>
    <t>Higueros Burrión</t>
  </si>
  <si>
    <t>Alexandra Yanet</t>
  </si>
  <si>
    <t>Jocón Barillas</t>
  </si>
  <si>
    <t>Emely Julissa</t>
  </si>
  <si>
    <t>Marroquín Orantes</t>
  </si>
  <si>
    <t xml:space="preserve">Martin Ajiatáz </t>
  </si>
  <si>
    <t>Melany Anahí</t>
  </si>
  <si>
    <t>Meletz Carrera</t>
  </si>
  <si>
    <t>Méndez Ijchajchal</t>
  </si>
  <si>
    <t>Jeremy Alexis</t>
  </si>
  <si>
    <t>Morales Agustin</t>
  </si>
  <si>
    <t>Ilbia Rosalia</t>
  </si>
  <si>
    <t>Ordoñez Zurdo</t>
  </si>
  <si>
    <t>Pedro Josué</t>
  </si>
  <si>
    <t>Julio Alejandro</t>
  </si>
  <si>
    <t xml:space="preserve">Patzan Diaz </t>
  </si>
  <si>
    <t>Sherlin Esmeralda</t>
  </si>
  <si>
    <t>Rafael Bail</t>
  </si>
  <si>
    <t>Damaris Amay</t>
  </si>
  <si>
    <t>Rangel Foronda</t>
  </si>
  <si>
    <t>Jeferson Omar</t>
  </si>
  <si>
    <t>Salala Soyos</t>
  </si>
  <si>
    <t>Mildred Aracely</t>
  </si>
  <si>
    <t>Joselin Mishel</t>
  </si>
  <si>
    <t>Solis Salguero</t>
  </si>
  <si>
    <t>Iñaki Lorenzo Antonio</t>
  </si>
  <si>
    <t>Kristofer Augusto</t>
  </si>
  <si>
    <t>Tzul Quiñonez</t>
  </si>
  <si>
    <t>Londy María</t>
  </si>
  <si>
    <t>Yoque Domingo</t>
  </si>
  <si>
    <t>Erick Andrés</t>
  </si>
  <si>
    <t>Camey Osorio</t>
  </si>
  <si>
    <t>Gloria Karina</t>
  </si>
  <si>
    <t>Chaman</t>
  </si>
  <si>
    <t>Jessica Paola</t>
  </si>
  <si>
    <t>Cuc Gonzáles</t>
  </si>
  <si>
    <t>Figueroa Martínez</t>
  </si>
  <si>
    <t>Eddy Randolfo</t>
  </si>
  <si>
    <t>Mauricio López</t>
  </si>
  <si>
    <t>Wendy Johana</t>
  </si>
  <si>
    <t>Méndez Jacobo</t>
  </si>
  <si>
    <t>Catherine Helizabeth</t>
  </si>
  <si>
    <t>Ochoa Quisquinai</t>
  </si>
  <si>
    <t>Angelín Daniela</t>
  </si>
  <si>
    <t>Ortiz Yax</t>
  </si>
  <si>
    <t>Axel Emanuel</t>
  </si>
  <si>
    <t>Patzán Morales</t>
  </si>
  <si>
    <t>Cristian Rodolfo</t>
  </si>
  <si>
    <t>Axel Eduardo</t>
  </si>
  <si>
    <t xml:space="preserve">Saban </t>
  </si>
  <si>
    <t>María Elizabeth</t>
  </si>
  <si>
    <t>Santizo de León</t>
  </si>
  <si>
    <t>Wilson Alexander</t>
  </si>
  <si>
    <t>Sicay Pérez</t>
  </si>
  <si>
    <t>Mayda Nicol</t>
  </si>
  <si>
    <t>Subuyuj Morales</t>
  </si>
  <si>
    <t>Angelly Marleni Nohemí</t>
  </si>
  <si>
    <t>Tiul Coc</t>
  </si>
  <si>
    <t>Jaira Baneza</t>
  </si>
  <si>
    <t>Villagrán Mijangos</t>
  </si>
  <si>
    <t>Catherine Amarilis</t>
  </si>
  <si>
    <t>Ajichiqui Diaz</t>
  </si>
  <si>
    <t>Lesly Nohemí</t>
  </si>
  <si>
    <t>Castillo Alay</t>
  </si>
  <si>
    <t>Reyna Marisol</t>
  </si>
  <si>
    <t>Emerson Aimar</t>
  </si>
  <si>
    <t>Daniela Abigail</t>
  </si>
  <si>
    <t>Urizar Poroj</t>
  </si>
  <si>
    <t>Danna Fernanda</t>
  </si>
  <si>
    <t>Barrios Cuyun</t>
  </si>
  <si>
    <t>Jaqueline Paola</t>
  </si>
  <si>
    <t>Gutiérrez Gálvez</t>
  </si>
  <si>
    <t>Francisco Jesús</t>
  </si>
  <si>
    <t>Rodas Villeda</t>
  </si>
  <si>
    <t>Rodrigo Alexander</t>
  </si>
  <si>
    <t>Velásquez Cano</t>
  </si>
  <si>
    <t>Marta Julia Rodríguez</t>
  </si>
  <si>
    <t>Fecha / pago</t>
  </si>
  <si>
    <t>Diego Andreé</t>
  </si>
  <si>
    <t>29 de noviembre</t>
  </si>
  <si>
    <t>Andrea Paola Zurdo Batz</t>
  </si>
  <si>
    <t xml:space="preserve">Exp. Escolar </t>
  </si>
  <si>
    <t>Encargado/a</t>
  </si>
  <si>
    <t>Ismalé Pérez</t>
  </si>
  <si>
    <t>Sandra Pérez</t>
  </si>
  <si>
    <t xml:space="preserve">Fecha de nacimiento </t>
  </si>
  <si>
    <t>Fecha de nacimiento</t>
  </si>
  <si>
    <t xml:space="preserve">Edward Steven </t>
  </si>
  <si>
    <t xml:space="preserve">María del Rosartio Ortiz Rosales </t>
  </si>
  <si>
    <t>Fecha de pago</t>
  </si>
  <si>
    <t xml:space="preserve">Mansia Pérez </t>
  </si>
  <si>
    <t>Kristen Nicol</t>
  </si>
  <si>
    <t>Exp. Escolar</t>
  </si>
  <si>
    <t>Evelin Marleni Carrera Cruz</t>
  </si>
  <si>
    <t xml:space="preserve">Inscritos  </t>
  </si>
  <si>
    <t xml:space="preserve">Grado </t>
  </si>
  <si>
    <t xml:space="preserve">1° Básico </t>
  </si>
  <si>
    <t xml:space="preserve">2° Básico </t>
  </si>
  <si>
    <t xml:space="preserve">3° Básico </t>
  </si>
  <si>
    <t xml:space="preserve">4° Bachillerato </t>
  </si>
  <si>
    <t>5° Bachillerato</t>
  </si>
  <si>
    <t>Aura Estela Chiquitó</t>
  </si>
  <si>
    <t>Xiloj Rueda</t>
  </si>
  <si>
    <t xml:space="preserve">Michael Alexander </t>
  </si>
  <si>
    <t>Certificado de 3 básico, Nacimiento, Fotocopia de DPI</t>
  </si>
  <si>
    <t>Primera semana de diciembre</t>
  </si>
  <si>
    <t xml:space="preserve">Reginalda Rueda Florian </t>
  </si>
  <si>
    <t>5524 4412</t>
  </si>
  <si>
    <t>Mario Martín Patzán Ortiz</t>
  </si>
  <si>
    <t>Tel. Encargado</t>
  </si>
  <si>
    <t>Total</t>
  </si>
  <si>
    <t>Primera semana de enero</t>
  </si>
  <si>
    <t>Amparo Elizabeth Jacobo Yool</t>
  </si>
  <si>
    <t>Montes Arreola</t>
  </si>
  <si>
    <t>Paula Melissa Estrada Arreola</t>
  </si>
  <si>
    <t>5932 1086</t>
  </si>
  <si>
    <t>Toledo Chiquitó</t>
  </si>
  <si>
    <t>Enero y Febrero</t>
  </si>
  <si>
    <t>Reina Araceli Caniche Nicolás</t>
  </si>
  <si>
    <t>5113 9210</t>
  </si>
  <si>
    <t>Primera semana diciembre</t>
  </si>
  <si>
    <t>5693 4232</t>
  </si>
  <si>
    <t>3304 9629</t>
  </si>
  <si>
    <t>5615 4185</t>
  </si>
  <si>
    <t>4443 1110</t>
  </si>
  <si>
    <t>3118 0246</t>
  </si>
  <si>
    <t xml:space="preserve">Váldez Urbina </t>
  </si>
  <si>
    <t xml:space="preserve">Jennyfer Ximena </t>
  </si>
  <si>
    <t>Enero</t>
  </si>
  <si>
    <t>Julia Virginia Urbina  Váldez</t>
  </si>
  <si>
    <t>Jefersón Estiven</t>
  </si>
  <si>
    <t>Váldez Urbina</t>
  </si>
  <si>
    <t xml:space="preserve">enero </t>
  </si>
  <si>
    <t>Julia Urbina</t>
  </si>
  <si>
    <t>3692 1477</t>
  </si>
  <si>
    <t>4811 7364</t>
  </si>
  <si>
    <t>Prisly Adairiz</t>
  </si>
  <si>
    <t>Diciembre</t>
  </si>
  <si>
    <t>Amalia Muñoz</t>
  </si>
  <si>
    <t>5124 2275</t>
  </si>
  <si>
    <t>Jubitza Echeverría Contreras</t>
  </si>
  <si>
    <t>5045 7969</t>
  </si>
  <si>
    <t>María Fernanda Miranda Paredes</t>
  </si>
  <si>
    <t>4144 6981</t>
  </si>
  <si>
    <t xml:space="preserve">Diciembre </t>
  </si>
  <si>
    <t>Julissa Xiomara Soyoy Tuquer</t>
  </si>
  <si>
    <t>3709 6020</t>
  </si>
  <si>
    <t>Amaya Pérez</t>
  </si>
  <si>
    <t xml:space="preserve">Ingrid Aracely Zelada Chinchilla </t>
  </si>
  <si>
    <t>5961 2899</t>
  </si>
  <si>
    <t>Silvia Azucena Bonilla Vanegas</t>
  </si>
  <si>
    <t>3913 4349</t>
  </si>
  <si>
    <t xml:space="preserve">Enero </t>
  </si>
  <si>
    <t>Enma Edelmira Rodríguez Estrada</t>
  </si>
  <si>
    <t>5693 9034</t>
  </si>
  <si>
    <t>Juan Ramón Chavez Alvarado</t>
  </si>
  <si>
    <t>4761 9083</t>
  </si>
  <si>
    <t>Ángel Ricardo</t>
  </si>
  <si>
    <t>Méndez Chávez</t>
  </si>
  <si>
    <t xml:space="preserve">Primera semana de diciembre </t>
  </si>
  <si>
    <t>Linda Ssusset Mendoza Medrano</t>
  </si>
  <si>
    <t>3813 3938</t>
  </si>
  <si>
    <t>Diciembre y enero</t>
  </si>
  <si>
    <t>Debora Raquel Ajiatás Hernández</t>
  </si>
  <si>
    <t>5855 9961</t>
  </si>
  <si>
    <t>Hamilthon Esau</t>
  </si>
  <si>
    <t xml:space="preserve">Final de noviembre </t>
  </si>
  <si>
    <t>María Elvira Sí Tot</t>
  </si>
  <si>
    <t>4358 6033</t>
  </si>
  <si>
    <t>Martina Fátima</t>
  </si>
  <si>
    <t xml:space="preserve">Reyna Josefina Velásquez Ríos </t>
  </si>
  <si>
    <t>AÑO ESCOLAR 2025- 2° Básico</t>
  </si>
  <si>
    <t>AÑO ESCOLAR 2025- 1° Básico</t>
  </si>
  <si>
    <t>Gumercinda Concepción Escalante Hernández</t>
  </si>
  <si>
    <t>5699 3330</t>
  </si>
  <si>
    <t>AÑO ESCOLAR 2025 - 3° Básico</t>
  </si>
  <si>
    <t>AÑO ESCOLAR 2025. 4° Bachillerato</t>
  </si>
  <si>
    <t>PRIMERO BÁSICO</t>
  </si>
  <si>
    <t>SEGUNDO BÁSICO</t>
  </si>
  <si>
    <t>TERCERO BÁSICO</t>
  </si>
  <si>
    <t>CUARTO BACHILLERATO</t>
  </si>
  <si>
    <t xml:space="preserve">RESUMEN </t>
  </si>
  <si>
    <t xml:space="preserve">Inscritos </t>
  </si>
  <si>
    <t xml:space="preserve">Primero básico </t>
  </si>
  <si>
    <t>Segundo básico</t>
  </si>
  <si>
    <t>Tercero básico</t>
  </si>
  <si>
    <t>Cuarto Bachillerato</t>
  </si>
  <si>
    <t>INSCRIPCIONES-Resumen de pagos y pendiente de pago</t>
  </si>
  <si>
    <t>Rafael Baíl</t>
  </si>
  <si>
    <t>Damaris Anay</t>
  </si>
  <si>
    <t xml:space="preserve">Última semana de noviembre </t>
  </si>
  <si>
    <t>Ofelia Baíl Gómez</t>
  </si>
  <si>
    <t>4576 9306</t>
  </si>
  <si>
    <t>3304 9620 (WhatsApp) 4844 0150 ( Llamadas)</t>
  </si>
  <si>
    <t>Julio Alejandro Jeremiah</t>
  </si>
  <si>
    <t>Dolores Ijchajchal Gónzalez</t>
  </si>
  <si>
    <t>26-012009</t>
  </si>
  <si>
    <t>5182 6697</t>
  </si>
  <si>
    <t>María Nieves García</t>
  </si>
  <si>
    <t>Hilda Salguero</t>
  </si>
  <si>
    <t>9 y 25</t>
  </si>
  <si>
    <t>Jeferson Omar Israel</t>
  </si>
  <si>
    <t xml:space="preserve">Glenda Patricia Foronda </t>
  </si>
  <si>
    <t>5976 1035</t>
  </si>
  <si>
    <t xml:space="preserve">López Flores </t>
  </si>
  <si>
    <t>Yamíli Jimena</t>
  </si>
  <si>
    <t xml:space="preserve">Claudia Elizabet Flores Hernández </t>
  </si>
  <si>
    <t>Scarlett Dajane</t>
  </si>
  <si>
    <t>Primer semana de dicembre</t>
  </si>
  <si>
    <t>Gloria Mirna Orantes</t>
  </si>
  <si>
    <t>Karla Corea</t>
  </si>
  <si>
    <t>4742 4386</t>
  </si>
  <si>
    <t>Sharóm Solansh Gabriela</t>
  </si>
  <si>
    <t>3 y 28</t>
  </si>
  <si>
    <t>Ochoa Quisquina</t>
  </si>
  <si>
    <t>Fin de noviembre</t>
  </si>
  <si>
    <t>Antonieta Quisquina Locón</t>
  </si>
  <si>
    <t>Quisquina Locon</t>
  </si>
  <si>
    <t>Noviembre</t>
  </si>
  <si>
    <t xml:space="preserve">Celia Chamán </t>
  </si>
  <si>
    <t xml:space="preserve">Patzan Díaz </t>
  </si>
  <si>
    <t>Nancy Maribel Díaz Rueda/Ana María Barrientos</t>
  </si>
  <si>
    <t>50817240/ 33355710</t>
  </si>
  <si>
    <t>Katheryn Amarylis</t>
  </si>
  <si>
    <t xml:space="preserve">Juan Carlois Villagrán </t>
  </si>
  <si>
    <t>Cristofer Emilio Alejandro</t>
  </si>
  <si>
    <t>Ana Marleni Morales Castillo</t>
  </si>
  <si>
    <t>Ortíz Yax</t>
  </si>
  <si>
    <t>Evelyn Marleni Yax</t>
  </si>
  <si>
    <t>Emily Julissa</t>
  </si>
  <si>
    <t>Andrea Betzabé Barillas Villanueva</t>
  </si>
  <si>
    <t>4964 7451</t>
  </si>
  <si>
    <t>Jayra Baneza</t>
  </si>
  <si>
    <t>Hermelindo Tiul Coc</t>
  </si>
  <si>
    <t>3044 4545</t>
  </si>
  <si>
    <t>Ghylaine Cristina</t>
  </si>
  <si>
    <t>Ozuna Barillas</t>
  </si>
  <si>
    <t>Jessica Mariela Ozuna Barillas</t>
  </si>
  <si>
    <t>María Elizabeth de la Soledad</t>
  </si>
  <si>
    <t xml:space="preserve">Victoria Sabán </t>
  </si>
  <si>
    <t>4502 8704</t>
  </si>
  <si>
    <t>María Boch/ Claudia Armis Boch (mamá)</t>
  </si>
  <si>
    <t>3990 5979 (Abuela) 45381094 (Mamá)</t>
  </si>
  <si>
    <t>Karely Nicole</t>
  </si>
  <si>
    <t>Nolvia Liseth Vargas Orellana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</si>
  <si>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</si>
  <si>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</si>
  <si>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</si>
  <si>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</si>
  <si>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</si>
  <si>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</si>
  <si>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</si>
  <si>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</si>
  <si>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</si>
  <si>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</si>
  <si>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</si>
  <si>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</si>
  <si>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</si>
  <si>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PAGO MENSUALIDAD - 2025</t>
  </si>
  <si>
    <t>Mayra Ester Aguilar/Huberto Randolfo Figueroa Natareno</t>
  </si>
  <si>
    <t>3191 2974 (Abuela)/59003561 (Abuelo)</t>
  </si>
  <si>
    <t>Sharon Dayan</t>
  </si>
  <si>
    <t>Ique González</t>
  </si>
  <si>
    <t>Daniela Percel Ique</t>
  </si>
  <si>
    <t>5013 9540 (Papá) /5976 1478 (Mamá)</t>
  </si>
  <si>
    <t>Lesly Saydett Cano</t>
  </si>
  <si>
    <t>Caterine Helizabeth</t>
  </si>
  <si>
    <t>Angelin Daniela</t>
  </si>
  <si>
    <t>Angelly Marleni Noemy</t>
  </si>
  <si>
    <t>Tzul Quiñónez</t>
  </si>
  <si>
    <t>Hamilthon Esaú</t>
  </si>
  <si>
    <t>Mario Martin</t>
  </si>
  <si>
    <t>Martina Fátima Saraí</t>
  </si>
  <si>
    <t>Quinto Bachillerato</t>
  </si>
  <si>
    <t>QUINTO BACHILLERATO</t>
  </si>
  <si>
    <t>Ana Macario Vicente</t>
  </si>
  <si>
    <t>5868 2459</t>
  </si>
  <si>
    <t>02 y 041</t>
  </si>
  <si>
    <t>enero, febrero, marzo</t>
  </si>
  <si>
    <t>Juana Janeth Raymundo Pop</t>
  </si>
  <si>
    <t>3010 0349</t>
  </si>
  <si>
    <t xml:space="preserve">Ozuna Barillas </t>
  </si>
  <si>
    <t>Quisquina Locón</t>
  </si>
  <si>
    <t>Morales Agustín</t>
  </si>
  <si>
    <t>Ilbia Rosal+ia Agustín Yol</t>
  </si>
  <si>
    <t>3795 0050</t>
  </si>
  <si>
    <t>RESUMEN GENERAL DE INSCRIPCIONES</t>
  </si>
  <si>
    <t xml:space="preserve">1era. Entrega 25.11 </t>
  </si>
  <si>
    <t>2da Entrega. 02.12</t>
  </si>
  <si>
    <t>2da. Entrega 02.12</t>
  </si>
  <si>
    <t>Reina Marisol</t>
  </si>
  <si>
    <t>Veralicia Alay Samayoa</t>
  </si>
  <si>
    <t>4264 5532</t>
  </si>
  <si>
    <t xml:space="preserve">Verónica Patricia Lobos </t>
  </si>
  <si>
    <t>4221 5210</t>
  </si>
  <si>
    <t>18 y 49</t>
  </si>
  <si>
    <t>2da Entrega 02.12</t>
  </si>
  <si>
    <t>Eva López</t>
  </si>
  <si>
    <t>Mildre Aracely</t>
  </si>
  <si>
    <t>Salalá Soyos</t>
  </si>
  <si>
    <t>María Sandra Soyos Xocoxic</t>
  </si>
  <si>
    <t>Jocelyn Mchelle</t>
  </si>
  <si>
    <t xml:space="preserve">Diembre </t>
  </si>
  <si>
    <t>4574 4662</t>
  </si>
  <si>
    <t xml:space="preserve">Daphne Ahtziri Desiré </t>
  </si>
  <si>
    <t>Dominga Elizabeth Natareno</t>
  </si>
  <si>
    <t>Domingo Elizabeth Natareno</t>
  </si>
  <si>
    <t>3589 1672</t>
  </si>
  <si>
    <t>15 y 55</t>
  </si>
  <si>
    <t>González Ordoñez</t>
  </si>
  <si>
    <t xml:space="preserve">17 de diciembre </t>
  </si>
  <si>
    <t>39 y 58</t>
  </si>
  <si>
    <t>51 y 59</t>
  </si>
  <si>
    <t>Dominga Díaz</t>
  </si>
  <si>
    <t>4746 7512</t>
  </si>
  <si>
    <t>Peren Otzoy</t>
  </si>
  <si>
    <t xml:space="preserve">Randy Alexander </t>
  </si>
  <si>
    <t>Elvira Peren Otzoy</t>
  </si>
  <si>
    <t>3622 3361</t>
  </si>
  <si>
    <t xml:space="preserve">Simón Peren </t>
  </si>
  <si>
    <t>Candy Fabiola Odeth</t>
  </si>
  <si>
    <t>Naomi Susana</t>
  </si>
  <si>
    <t>Marly Susana Cuc González</t>
  </si>
  <si>
    <t>Morataya Patzán</t>
  </si>
  <si>
    <t>Estefany Paola</t>
  </si>
  <si>
    <t>María de los Ángeles Patzán</t>
  </si>
  <si>
    <t>4295 7039</t>
  </si>
  <si>
    <t xml:space="preserve">Molina Case </t>
  </si>
  <si>
    <t>Jhoshua Gamaliel</t>
  </si>
  <si>
    <t>Jonny Gamaliel Molina Contreras</t>
  </si>
  <si>
    <t>3591 1949</t>
  </si>
  <si>
    <t>3° Entrega 09.12</t>
  </si>
  <si>
    <t>Randy Alexander</t>
  </si>
  <si>
    <t xml:space="preserve">Ingrid Dinora Cifuentes Cruz </t>
  </si>
  <si>
    <t>3575 9655</t>
  </si>
  <si>
    <t>4 entrega</t>
  </si>
  <si>
    <t>4 Entrega</t>
  </si>
  <si>
    <t>Primero Básico</t>
  </si>
  <si>
    <t>Segundo Básico</t>
  </si>
  <si>
    <t xml:space="preserve">Benito Pérez </t>
  </si>
  <si>
    <t>Kiara Julissa Leilany</t>
  </si>
  <si>
    <t>Jezly Robersy Mirella Benito López</t>
  </si>
  <si>
    <t>4006 3989</t>
  </si>
  <si>
    <t>Yesenia de la Cruz García</t>
  </si>
  <si>
    <t>3909 2709</t>
  </si>
  <si>
    <t>Alexandra Anahí Yanet</t>
  </si>
  <si>
    <t>Celia Yaneth Burrión León</t>
  </si>
  <si>
    <t>LISTADO DE ESTUDIANTES PARA INSCRIBIR EN DICIEMBRE DE 2024</t>
  </si>
  <si>
    <t>PRIMERO BÁSICO. Q.525.00</t>
  </si>
  <si>
    <t xml:space="preserve">López Ventura </t>
  </si>
  <si>
    <t xml:space="preserve">Cristofer Misael </t>
  </si>
  <si>
    <t xml:space="preserve">Ofelia López Ventura </t>
  </si>
  <si>
    <t>4292 3734</t>
  </si>
  <si>
    <t>López Ventura</t>
  </si>
  <si>
    <t xml:space="preserve"> Cristofer Misael</t>
  </si>
  <si>
    <t>4° Entrega 12.12</t>
  </si>
  <si>
    <t xml:space="preserve">Inscripción </t>
  </si>
  <si>
    <t>Tercero Básico</t>
  </si>
  <si>
    <t>Número de estudiantes</t>
  </si>
  <si>
    <t>Fondo manos unidas</t>
  </si>
  <si>
    <t>Administración</t>
  </si>
  <si>
    <t>BANRURAL</t>
  </si>
  <si>
    <t xml:space="preserve">Número de cuenta: </t>
  </si>
  <si>
    <t>Nombre de la Cuenta</t>
  </si>
  <si>
    <t>ASEC-IGER</t>
  </si>
  <si>
    <t>5° Entrega</t>
  </si>
  <si>
    <t>5ta. Entrega</t>
  </si>
  <si>
    <t xml:space="preserve">5° Entrega </t>
  </si>
  <si>
    <t>Beatriz Soc</t>
  </si>
  <si>
    <t>4844 2237</t>
  </si>
  <si>
    <t>Daphne Ahzsiri D.</t>
  </si>
  <si>
    <t>5° Entrega. 17.12</t>
  </si>
  <si>
    <t>6ta. Entrega</t>
  </si>
  <si>
    <t>Papelería entregada</t>
  </si>
  <si>
    <t>Dora Luz Gálvez</t>
  </si>
  <si>
    <t>5480 3230</t>
  </si>
  <si>
    <t xml:space="preserve">Jaqueline Pamela </t>
  </si>
  <si>
    <t>5785 5344</t>
  </si>
  <si>
    <t xml:space="preserve">Total </t>
  </si>
  <si>
    <t>Sánchez Pérez</t>
  </si>
  <si>
    <t xml:space="preserve">Cristian Manuel </t>
  </si>
  <si>
    <t>Cristian Manuel Sánchez</t>
  </si>
  <si>
    <t>4178 0069</t>
  </si>
  <si>
    <t>Molina Case</t>
  </si>
  <si>
    <t>Maryury Daniela</t>
  </si>
  <si>
    <t>Pendiente papelería</t>
  </si>
  <si>
    <t>Febrero</t>
  </si>
  <si>
    <t>Yuvicsa Ninnet Case</t>
  </si>
  <si>
    <t>4105 8068/51100327</t>
  </si>
  <si>
    <t>Fernández Reyes</t>
  </si>
  <si>
    <t>William Jesús</t>
  </si>
  <si>
    <t>Mayra Marilú Reyes Chilin</t>
  </si>
  <si>
    <t>5965 0988</t>
  </si>
  <si>
    <t>Rudy Rodolfo Patzán Gómez</t>
  </si>
  <si>
    <t>3982 1733</t>
  </si>
  <si>
    <t>Fermina Pérez Pérez</t>
  </si>
  <si>
    <t>Ponce Suchite</t>
  </si>
  <si>
    <t>Carmen Sarahi</t>
  </si>
  <si>
    <t>Carmen María Suchite</t>
  </si>
  <si>
    <t>5118 3066</t>
  </si>
  <si>
    <t xml:space="preserve">Ponce Suchite </t>
  </si>
  <si>
    <t>Velasquez Raxón</t>
  </si>
  <si>
    <t>Franklin Ricardo</t>
  </si>
  <si>
    <t>Sabrina Siomara Raxón González</t>
  </si>
  <si>
    <t>3427 6693</t>
  </si>
  <si>
    <t>Velásquez Raxón</t>
  </si>
  <si>
    <t xml:space="preserve">Franklin Ricardo </t>
  </si>
  <si>
    <t>Dos cuotas</t>
  </si>
  <si>
    <t>Carolina Jasmin Yoque Domingo</t>
  </si>
  <si>
    <t>3737 0430</t>
  </si>
  <si>
    <t>González Yoc</t>
  </si>
  <si>
    <t xml:space="preserve">Dulce María José </t>
  </si>
  <si>
    <t>Elsa Eugenia Yoc Xiquin</t>
  </si>
  <si>
    <t>5596 0893</t>
  </si>
  <si>
    <t>Dulce María José</t>
  </si>
  <si>
    <t>6ta. Entrega. 17 de enero</t>
  </si>
  <si>
    <t>Gutiérrez Salazar</t>
  </si>
  <si>
    <t>Ligia Virginia</t>
  </si>
  <si>
    <t>Ana Mabely Salazar Flores</t>
  </si>
  <si>
    <t>4939 5804</t>
  </si>
  <si>
    <t xml:space="preserve">Gutiérrez Salazar </t>
  </si>
  <si>
    <t>Inscripción IGER</t>
  </si>
  <si>
    <t>5669 1790/51853591 (Papá Robin Méndez)</t>
  </si>
  <si>
    <t xml:space="preserve">IGER </t>
  </si>
  <si>
    <t>IGER</t>
  </si>
  <si>
    <t>María Maricela Sapón Sulugüi</t>
  </si>
  <si>
    <t>3296 5044</t>
  </si>
  <si>
    <t>7ma. Entrega</t>
  </si>
  <si>
    <t>Mensualidad</t>
  </si>
  <si>
    <t>G. Admon</t>
  </si>
  <si>
    <t>IGER-INSCRIPCIÓN</t>
  </si>
  <si>
    <t>7° Entrega. 30 de enero</t>
  </si>
  <si>
    <t>Pago de mensualidades</t>
  </si>
  <si>
    <t xml:space="preserve">Méndez Jacobo </t>
  </si>
  <si>
    <t>8° Entrega</t>
  </si>
  <si>
    <t>8° Entrega 28.02</t>
  </si>
  <si>
    <t>9° Entrega</t>
  </si>
  <si>
    <t>9° Entrega 21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</si>
</sst>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2"/>
      <color rgb="FF0070C0"/>
      <name val="Century Gothic"/>
      <family val="2"/>
    </font>
    <font>
      <sz val="11"/>
      <color rgb="FF0070C0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rgb="FFFF0000"/>
      <name val="Century Gothic"/>
      <family val="2"/>
    </font>
    <font>
      <sz val="11"/>
      <color rgb="FFFF000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color rgb="FF000000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 val="singleAccounting"/>
      <sz val="11"/>
      <color rgb="FF000000"/>
      <name val="Century Gothic"/>
      <family val="2"/>
    </font>
    <font>
      <u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3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left" wrapText="1"/>
    </xf>
    <xf numFmtId="9" fontId="8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8" fillId="3" borderId="0" xfId="0" applyFont="1" applyFill="1"/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3" borderId="1" xfId="0" applyFont="1" applyFill="1" applyBorder="1"/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3" fillId="0" borderId="2" xfId="0" applyFont="1" applyBorder="1"/>
    <xf numFmtId="0" fontId="13" fillId="0" borderId="0" xfId="0" applyFont="1" applyBorder="1"/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14" fontId="7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/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14" fontId="20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2" fillId="0" borderId="1" xfId="0" applyFont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14" fontId="21" fillId="0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8" fillId="0" borderId="2" xfId="0" applyFont="1" applyBorder="1"/>
    <xf numFmtId="0" fontId="8" fillId="0" borderId="4" xfId="0" applyFont="1" applyBorder="1"/>
    <xf numFmtId="0" fontId="7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8" fillId="0" borderId="0" xfId="0" applyNumberFormat="1" applyFont="1"/>
    <xf numFmtId="14" fontId="7" fillId="0" borderId="0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20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4" fontId="21" fillId="3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left" vertical="top"/>
    </xf>
    <xf numFmtId="0" fontId="24" fillId="0" borderId="0" xfId="0" applyFont="1" applyFill="1"/>
    <xf numFmtId="0" fontId="24" fillId="0" borderId="5" xfId="0" applyFont="1" applyFill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/>
    </xf>
    <xf numFmtId="0" fontId="20" fillId="0" borderId="0" xfId="0" applyFont="1" applyFill="1"/>
    <xf numFmtId="0" fontId="21" fillId="0" borderId="1" xfId="0" applyFont="1" applyFill="1" applyBorder="1" applyAlignment="1">
      <alignment horizontal="left" vertical="top" wrapText="1"/>
    </xf>
    <xf numFmtId="0" fontId="21" fillId="0" borderId="5" xfId="0" applyFont="1" applyFill="1" applyBorder="1" applyAlignment="1">
      <alignment horizontal="left" vertical="center"/>
    </xf>
    <xf numFmtId="0" fontId="20" fillId="0" borderId="0" xfId="0" applyFont="1"/>
    <xf numFmtId="0" fontId="24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4" fillId="0" borderId="0" xfId="0" applyFont="1"/>
    <xf numFmtId="0" fontId="25" fillId="4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 applyAlignment="1">
      <alignment horizontal="left" vertical="top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top"/>
    </xf>
    <xf numFmtId="0" fontId="25" fillId="4" borderId="1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21" fillId="0" borderId="2" xfId="0" applyFont="1" applyBorder="1"/>
    <xf numFmtId="0" fontId="21" fillId="0" borderId="4" xfId="0" applyFont="1" applyBorder="1"/>
    <xf numFmtId="0" fontId="25" fillId="0" borderId="1" xfId="0" applyFont="1" applyBorder="1"/>
    <xf numFmtId="0" fontId="20" fillId="0" borderId="0" xfId="0" applyFont="1" applyAlignment="1">
      <alignment horizontal="right" vertical="top"/>
    </xf>
    <xf numFmtId="0" fontId="25" fillId="4" borderId="1" xfId="0" applyFont="1" applyFill="1" applyBorder="1" applyAlignment="1">
      <alignment horizontal="right" vertical="center"/>
    </xf>
    <xf numFmtId="0" fontId="20" fillId="0" borderId="1" xfId="0" applyFont="1" applyFill="1" applyBorder="1" applyAlignment="1">
      <alignment horizontal="right" vertical="top" wrapText="1"/>
    </xf>
    <xf numFmtId="0" fontId="24" fillId="0" borderId="0" xfId="0" applyFont="1" applyFill="1" applyAlignment="1">
      <alignment horizontal="right" vertical="top"/>
    </xf>
    <xf numFmtId="0" fontId="24" fillId="0" borderId="0" xfId="0" applyFont="1" applyAlignment="1">
      <alignment horizontal="right" vertical="top"/>
    </xf>
    <xf numFmtId="0" fontId="21" fillId="0" borderId="1" xfId="0" applyFont="1" applyFill="1" applyBorder="1" applyAlignment="1">
      <alignment horizontal="right" vertical="top"/>
    </xf>
    <xf numFmtId="0" fontId="24" fillId="0" borderId="5" xfId="0" applyFont="1" applyBorder="1" applyAlignment="1">
      <alignment horizontal="right" vertical="top"/>
    </xf>
    <xf numFmtId="0" fontId="25" fillId="0" borderId="0" xfId="0" applyFont="1" applyBorder="1" applyAlignment="1">
      <alignment horizontal="right" vertical="top"/>
    </xf>
    <xf numFmtId="0" fontId="25" fillId="4" borderId="1" xfId="0" applyFont="1" applyFill="1" applyBorder="1" applyAlignment="1">
      <alignment horizontal="right" vertical="center" wrapText="1"/>
    </xf>
    <xf numFmtId="0" fontId="21" fillId="0" borderId="0" xfId="0" applyFont="1" applyBorder="1" applyAlignment="1">
      <alignment horizontal="right" vertical="center"/>
    </xf>
    <xf numFmtId="0" fontId="24" fillId="0" borderId="0" xfId="0" applyFont="1" applyBorder="1" applyAlignment="1">
      <alignment horizontal="right" vertical="top"/>
    </xf>
    <xf numFmtId="0" fontId="21" fillId="0" borderId="1" xfId="0" applyFont="1" applyBorder="1" applyAlignment="1">
      <alignment horizontal="right" vertical="center"/>
    </xf>
    <xf numFmtId="0" fontId="21" fillId="0" borderId="1" xfId="0" applyFont="1" applyFill="1" applyBorder="1" applyAlignment="1">
      <alignment horizontal="right" vertical="center"/>
    </xf>
    <xf numFmtId="0" fontId="25" fillId="0" borderId="5" xfId="0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0" fontId="25" fillId="3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20" fillId="0" borderId="1" xfId="0" applyFont="1" applyBorder="1"/>
    <xf numFmtId="0" fontId="20" fillId="0" borderId="0" xfId="0" applyFont="1" applyBorder="1"/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/>
    <xf numFmtId="0" fontId="24" fillId="0" borderId="0" xfId="0" applyFont="1" applyBorder="1"/>
    <xf numFmtId="0" fontId="24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4" fillId="0" borderId="1" xfId="0" applyFont="1" applyBorder="1"/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Border="1"/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4" fillId="0" borderId="0" xfId="0" applyFont="1" applyFill="1" applyBorder="1"/>
    <xf numFmtId="0" fontId="12" fillId="0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center"/>
    </xf>
    <xf numFmtId="0" fontId="20" fillId="3" borderId="1" xfId="0" applyFont="1" applyFill="1" applyBorder="1"/>
    <xf numFmtId="0" fontId="15" fillId="4" borderId="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5" fontId="7" fillId="0" borderId="1" xfId="1" applyNumberFormat="1" applyFont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30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66B-676A-41C2-AC81-8C9BB775DBF1}">
  <dimension ref="A1:Z36"/>
  <sheetViews>
    <sheetView zoomScale="85" zoomScaleNormal="85" workbookViewId="0">
      <selection activeCell="D5" sqref="D5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1" customWidth="1"/>
    <col min="4" max="4" width="7.7109375" style="2" customWidth="1"/>
    <col min="5" max="5" width="30.28515625" style="2" customWidth="1"/>
    <col min="6" max="7" width="18.5703125" style="1" customWidth="1"/>
    <col min="8" max="8" width="18.5703125" style="55" customWidth="1"/>
    <col min="9" max="9" width="18.5703125" style="1" customWidth="1"/>
    <col min="10" max="10" width="18.5703125" style="33" customWidth="1"/>
    <col min="11" max="11" width="18.5703125" style="1" customWidth="1"/>
    <col min="12" max="12" width="31.5703125" style="33" customWidth="1"/>
    <col min="13" max="13" width="19.5703125" style="2" customWidth="1"/>
    <col min="14" max="16384" width="11.5703125" style="1"/>
  </cols>
  <sheetData>
    <row r="1" spans="1:26" ht="22.5" x14ac:dyDescent="0.3">
      <c r="A1" s="14" t="s">
        <v>0</v>
      </c>
    </row>
    <row r="2" spans="1:26" x14ac:dyDescent="0.3">
      <c r="A2" s="15" t="s">
        <v>231</v>
      </c>
    </row>
    <row r="3" spans="1:26" ht="27" customHeight="1" x14ac:dyDescent="0.3">
      <c r="N3" s="224" t="s">
        <v>317</v>
      </c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6"/>
    </row>
    <row r="4" spans="1:26" s="4" customFormat="1" ht="31.9" customHeight="1" x14ac:dyDescent="0.25">
      <c r="A4" s="17" t="s">
        <v>48</v>
      </c>
      <c r="B4" s="17" t="s">
        <v>40</v>
      </c>
      <c r="C4" s="17" t="s">
        <v>41</v>
      </c>
      <c r="D4" s="17" t="s">
        <v>42</v>
      </c>
      <c r="E4" s="17" t="s">
        <v>144</v>
      </c>
      <c r="F4" s="17" t="s">
        <v>43</v>
      </c>
      <c r="G4" s="17" t="s">
        <v>46</v>
      </c>
      <c r="H4" s="52" t="s">
        <v>44</v>
      </c>
      <c r="I4" s="18" t="s">
        <v>45</v>
      </c>
      <c r="J4" s="18" t="s">
        <v>136</v>
      </c>
      <c r="K4" s="17" t="s">
        <v>47</v>
      </c>
      <c r="L4" s="18" t="s">
        <v>141</v>
      </c>
      <c r="M4" s="17" t="s">
        <v>168</v>
      </c>
      <c r="N4" s="67" t="s">
        <v>304</v>
      </c>
      <c r="O4" s="67" t="s">
        <v>305</v>
      </c>
      <c r="P4" s="67" t="s">
        <v>306</v>
      </c>
      <c r="Q4" s="67" t="s">
        <v>307</v>
      </c>
      <c r="R4" s="67" t="s">
        <v>308</v>
      </c>
      <c r="S4" s="67" t="s">
        <v>309</v>
      </c>
      <c r="T4" s="67" t="s">
        <v>310</v>
      </c>
      <c r="U4" s="67" t="s">
        <v>311</v>
      </c>
      <c r="V4" s="67" t="s">
        <v>312</v>
      </c>
      <c r="W4" s="67" t="s">
        <v>313</v>
      </c>
      <c r="X4" s="67" t="s">
        <v>314</v>
      </c>
      <c r="Y4" s="67" t="s">
        <v>315</v>
      </c>
      <c r="Z4" s="3" t="s">
        <v>316</v>
      </c>
    </row>
    <row r="5" spans="1:26" ht="30.6" customHeight="1" x14ac:dyDescent="0.3">
      <c r="A5" s="32">
        <v>1</v>
      </c>
      <c r="B5" s="5" t="s">
        <v>2</v>
      </c>
      <c r="C5" s="5" t="s">
        <v>3</v>
      </c>
      <c r="D5" s="228">
        <f ca="1">TRUNC((TODAY()-E5)/365)</f>
        <v>13</v>
      </c>
      <c r="E5" s="31">
        <v>40909</v>
      </c>
      <c r="F5" s="32"/>
      <c r="G5" s="32"/>
      <c r="H5" s="56">
        <v>600</v>
      </c>
      <c r="I5" s="32"/>
      <c r="J5" s="34"/>
      <c r="K5" s="32"/>
      <c r="L5" s="34" t="s">
        <v>402</v>
      </c>
      <c r="M5" s="32" t="s">
        <v>403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65">
        <f>SUM(N5:Y5)</f>
        <v>0</v>
      </c>
    </row>
    <row r="6" spans="1:26" ht="30.6" customHeight="1" x14ac:dyDescent="0.3">
      <c r="A6" s="32">
        <v>1</v>
      </c>
      <c r="B6" s="5" t="s">
        <v>206</v>
      </c>
      <c r="C6" s="5" t="s">
        <v>4</v>
      </c>
      <c r="D6" s="228">
        <f t="shared" ref="D6:D31" ca="1" si="0">TRUNC((TODAY()-E6)/365)</f>
        <v>14</v>
      </c>
      <c r="E6" s="31">
        <v>40777</v>
      </c>
      <c r="F6" s="32" t="s">
        <v>140</v>
      </c>
      <c r="G6" s="39">
        <v>0.25</v>
      </c>
      <c r="H6" s="56">
        <v>600</v>
      </c>
      <c r="I6" s="32"/>
      <c r="J6" s="34"/>
      <c r="K6" s="32"/>
      <c r="L6" s="34" t="s">
        <v>207</v>
      </c>
      <c r="M6" s="32" t="s">
        <v>208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>
        <f>SUM(N6:Y6)</f>
        <v>0</v>
      </c>
    </row>
    <row r="7" spans="1:26" ht="30.6" customHeight="1" x14ac:dyDescent="0.3">
      <c r="A7" s="32">
        <v>1</v>
      </c>
      <c r="B7" s="5" t="s">
        <v>5</v>
      </c>
      <c r="C7" s="5" t="s">
        <v>6</v>
      </c>
      <c r="D7" s="228">
        <f t="shared" ca="1" si="0"/>
        <v>14</v>
      </c>
      <c r="E7" s="31">
        <v>40591</v>
      </c>
      <c r="F7" s="32" t="s">
        <v>140</v>
      </c>
      <c r="G7" s="32"/>
      <c r="H7" s="56">
        <v>800</v>
      </c>
      <c r="I7" s="32"/>
      <c r="J7" s="34"/>
      <c r="K7" s="32">
        <v>37</v>
      </c>
      <c r="L7" s="34" t="s">
        <v>300</v>
      </c>
      <c r="M7" s="34" t="s">
        <v>301</v>
      </c>
      <c r="N7" s="32">
        <v>50</v>
      </c>
      <c r="O7" s="32">
        <v>50</v>
      </c>
      <c r="P7" s="32">
        <v>50</v>
      </c>
      <c r="Q7" s="32">
        <v>50</v>
      </c>
      <c r="R7" s="32"/>
      <c r="S7" s="32"/>
      <c r="T7" s="32"/>
      <c r="U7" s="32"/>
      <c r="V7" s="32"/>
      <c r="W7" s="32"/>
      <c r="X7" s="32"/>
      <c r="Y7" s="32"/>
      <c r="Z7" s="65">
        <f t="shared" ref="Z7:Z28" si="1">SUM(N7:Y7)</f>
        <v>200</v>
      </c>
    </row>
    <row r="8" spans="1:26" ht="30.6" customHeight="1" x14ac:dyDescent="0.3">
      <c r="A8" s="32">
        <v>1</v>
      </c>
      <c r="B8" s="5" t="s">
        <v>7</v>
      </c>
      <c r="C8" s="5" t="s">
        <v>8</v>
      </c>
      <c r="D8" s="228">
        <f t="shared" ca="1" si="0"/>
        <v>14</v>
      </c>
      <c r="E8" s="31">
        <v>40766</v>
      </c>
      <c r="F8" s="32" t="s">
        <v>140</v>
      </c>
      <c r="G8" s="32"/>
      <c r="H8" s="56">
        <v>600</v>
      </c>
      <c r="I8" s="32"/>
      <c r="J8" s="34"/>
      <c r="K8" s="32">
        <v>13</v>
      </c>
      <c r="L8" s="34" t="s">
        <v>199</v>
      </c>
      <c r="M8" s="32" t="s">
        <v>200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65">
        <f t="shared" si="1"/>
        <v>0</v>
      </c>
    </row>
    <row r="9" spans="1:26" ht="30.6" customHeight="1" x14ac:dyDescent="0.3">
      <c r="A9" s="32">
        <v>1</v>
      </c>
      <c r="B9" s="5" t="s">
        <v>9</v>
      </c>
      <c r="C9" s="5" t="s">
        <v>10</v>
      </c>
      <c r="D9" s="228">
        <f t="shared" ca="1" si="0"/>
        <v>13</v>
      </c>
      <c r="E9" s="31">
        <v>41068</v>
      </c>
      <c r="F9" s="32" t="s">
        <v>140</v>
      </c>
      <c r="G9" s="39">
        <v>0.5</v>
      </c>
      <c r="H9" s="89">
        <v>300</v>
      </c>
      <c r="I9" s="32">
        <v>300</v>
      </c>
      <c r="J9" s="34"/>
      <c r="K9" s="32" t="s">
        <v>367</v>
      </c>
      <c r="L9" s="34" t="s">
        <v>209</v>
      </c>
      <c r="M9" s="32" t="s">
        <v>210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>
        <f t="shared" si="1"/>
        <v>0</v>
      </c>
    </row>
    <row r="10" spans="1:26" ht="30.6" customHeight="1" x14ac:dyDescent="0.3">
      <c r="A10" s="32">
        <v>1</v>
      </c>
      <c r="B10" s="5" t="s">
        <v>11</v>
      </c>
      <c r="C10" s="5" t="s">
        <v>12</v>
      </c>
      <c r="D10" s="228">
        <f t="shared" ca="1" si="0"/>
        <v>13</v>
      </c>
      <c r="E10" s="31">
        <v>41048</v>
      </c>
      <c r="F10" s="32" t="s">
        <v>140</v>
      </c>
      <c r="G10" s="32"/>
      <c r="H10" s="56">
        <v>600</v>
      </c>
      <c r="I10" s="32"/>
      <c r="J10" s="34" t="s">
        <v>203</v>
      </c>
      <c r="K10" s="32">
        <v>14</v>
      </c>
      <c r="L10" s="34" t="s">
        <v>204</v>
      </c>
      <c r="M10" s="32" t="s">
        <v>205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>
        <f t="shared" si="1"/>
        <v>0</v>
      </c>
    </row>
    <row r="11" spans="1:26" ht="30.6" customHeight="1" x14ac:dyDescent="0.3">
      <c r="A11" s="32">
        <v>1</v>
      </c>
      <c r="B11" s="5" t="s">
        <v>13</v>
      </c>
      <c r="C11" s="5" t="s">
        <v>14</v>
      </c>
      <c r="D11" s="228">
        <f t="shared" ca="1" si="0"/>
        <v>13</v>
      </c>
      <c r="E11" s="31">
        <v>41145</v>
      </c>
      <c r="F11" s="32" t="s">
        <v>140</v>
      </c>
      <c r="G11" s="32"/>
      <c r="H11" s="89">
        <v>700</v>
      </c>
      <c r="I11" s="32">
        <v>0</v>
      </c>
      <c r="J11" s="34" t="s">
        <v>138</v>
      </c>
      <c r="K11" s="32">
        <v>1</v>
      </c>
      <c r="L11" s="34" t="s">
        <v>135</v>
      </c>
      <c r="M11" s="32" t="s">
        <v>182</v>
      </c>
      <c r="N11" s="32">
        <v>50</v>
      </c>
      <c r="O11" s="32">
        <v>50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65">
        <f t="shared" si="1"/>
        <v>100</v>
      </c>
    </row>
    <row r="12" spans="1:26" ht="30.6" customHeight="1" x14ac:dyDescent="0.3">
      <c r="A12" s="32">
        <v>1</v>
      </c>
      <c r="B12" s="5" t="s">
        <v>368</v>
      </c>
      <c r="C12" s="5" t="s">
        <v>195</v>
      </c>
      <c r="D12" s="228">
        <f t="shared" ca="1" si="0"/>
        <v>14</v>
      </c>
      <c r="E12" s="31">
        <v>40624</v>
      </c>
      <c r="F12" s="32" t="s">
        <v>140</v>
      </c>
      <c r="G12" s="32"/>
      <c r="H12" s="89">
        <v>600</v>
      </c>
      <c r="I12" s="32"/>
      <c r="J12" s="34"/>
      <c r="K12" s="32"/>
      <c r="L12" s="34" t="s">
        <v>197</v>
      </c>
      <c r="M12" s="32" t="s">
        <v>198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65">
        <f t="shared" si="1"/>
        <v>0</v>
      </c>
    </row>
    <row r="13" spans="1:26" ht="30.6" customHeight="1" x14ac:dyDescent="0.3">
      <c r="A13" s="32">
        <v>1</v>
      </c>
      <c r="B13" s="6" t="s">
        <v>15</v>
      </c>
      <c r="C13" s="6" t="s">
        <v>329</v>
      </c>
      <c r="D13" s="228">
        <f t="shared" ca="1" si="0"/>
        <v>13</v>
      </c>
      <c r="E13" s="31">
        <v>40845</v>
      </c>
      <c r="F13" s="32" t="s">
        <v>140</v>
      </c>
      <c r="G13" s="32"/>
      <c r="H13" s="89">
        <v>600</v>
      </c>
      <c r="I13" s="32"/>
      <c r="J13" s="34" t="s">
        <v>225</v>
      </c>
      <c r="K13" s="32" t="s">
        <v>354</v>
      </c>
      <c r="L13" s="34" t="s">
        <v>226</v>
      </c>
      <c r="M13" s="32" t="s">
        <v>227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65">
        <f t="shared" si="1"/>
        <v>0</v>
      </c>
    </row>
    <row r="14" spans="1:26" ht="30.6" customHeight="1" x14ac:dyDescent="0.3">
      <c r="A14" s="32">
        <v>1</v>
      </c>
      <c r="B14" s="5" t="s">
        <v>16</v>
      </c>
      <c r="C14" s="5" t="s">
        <v>17</v>
      </c>
      <c r="D14" s="228">
        <f t="shared" ca="1" si="0"/>
        <v>14</v>
      </c>
      <c r="E14" s="31">
        <v>40451</v>
      </c>
      <c r="F14" s="32" t="s">
        <v>140</v>
      </c>
      <c r="G14" s="32">
        <v>50</v>
      </c>
      <c r="H14" s="89">
        <v>600</v>
      </c>
      <c r="I14" s="32"/>
      <c r="J14" s="34"/>
      <c r="K14" s="32"/>
      <c r="L14" s="34" t="s">
        <v>201</v>
      </c>
      <c r="M14" s="32" t="s">
        <v>202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65">
        <f t="shared" si="1"/>
        <v>0</v>
      </c>
    </row>
    <row r="15" spans="1:26" ht="30.6" customHeight="1" x14ac:dyDescent="0.3">
      <c r="A15" s="32">
        <v>1</v>
      </c>
      <c r="B15" s="5" t="s">
        <v>18</v>
      </c>
      <c r="C15" s="5" t="s">
        <v>19</v>
      </c>
      <c r="D15" s="228">
        <f t="shared" ca="1" si="0"/>
        <v>13</v>
      </c>
      <c r="E15" s="31">
        <v>41011</v>
      </c>
      <c r="F15" s="32" t="s">
        <v>140</v>
      </c>
      <c r="G15" s="32"/>
      <c r="H15" s="89">
        <v>650</v>
      </c>
      <c r="I15" s="32"/>
      <c r="J15" s="34" t="s">
        <v>369</v>
      </c>
      <c r="K15" s="32">
        <v>57</v>
      </c>
      <c r="L15" s="34" t="s">
        <v>232</v>
      </c>
      <c r="M15" s="32" t="s">
        <v>233</v>
      </c>
      <c r="N15" s="32">
        <v>50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65">
        <f t="shared" si="1"/>
        <v>50</v>
      </c>
    </row>
    <row r="16" spans="1:26" ht="30.6" customHeight="1" x14ac:dyDescent="0.3">
      <c r="A16" s="98">
        <v>1</v>
      </c>
      <c r="B16" s="99" t="s">
        <v>20</v>
      </c>
      <c r="C16" s="99" t="s">
        <v>21</v>
      </c>
      <c r="D16" s="228">
        <f t="shared" ca="1" si="0"/>
        <v>14</v>
      </c>
      <c r="E16" s="100">
        <v>40763</v>
      </c>
      <c r="F16" s="98" t="s">
        <v>140</v>
      </c>
      <c r="G16" s="98">
        <v>50</v>
      </c>
      <c r="H16" s="98">
        <v>600</v>
      </c>
      <c r="I16" s="32">
        <v>0</v>
      </c>
      <c r="J16" s="34" t="s">
        <v>196</v>
      </c>
      <c r="K16" s="32"/>
      <c r="L16" s="34" t="s">
        <v>334</v>
      </c>
      <c r="M16" s="32" t="s">
        <v>335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65">
        <f t="shared" si="1"/>
        <v>0</v>
      </c>
    </row>
    <row r="17" spans="1:26" ht="30.6" customHeight="1" x14ac:dyDescent="0.3">
      <c r="A17" s="32">
        <v>1</v>
      </c>
      <c r="B17" s="5" t="s">
        <v>22</v>
      </c>
      <c r="C17" s="5" t="s">
        <v>23</v>
      </c>
      <c r="D17" s="228">
        <f t="shared" ca="1" si="0"/>
        <v>11</v>
      </c>
      <c r="E17" s="31">
        <v>41591</v>
      </c>
      <c r="F17" s="32"/>
      <c r="G17" s="32"/>
      <c r="H17" s="56">
        <v>600</v>
      </c>
      <c r="I17" s="32"/>
      <c r="J17" s="34"/>
      <c r="K17" s="32"/>
      <c r="L17" s="34" t="s">
        <v>484</v>
      </c>
      <c r="M17" s="32" t="s">
        <v>485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65">
        <f t="shared" si="1"/>
        <v>0</v>
      </c>
    </row>
    <row r="18" spans="1:26" ht="30.6" customHeight="1" x14ac:dyDescent="0.3">
      <c r="A18" s="32">
        <v>1</v>
      </c>
      <c r="B18" s="5" t="s">
        <v>172</v>
      </c>
      <c r="C18" s="5" t="s">
        <v>24</v>
      </c>
      <c r="D18" s="228">
        <f t="shared" ca="1" si="0"/>
        <v>13</v>
      </c>
      <c r="E18" s="31">
        <v>41018</v>
      </c>
      <c r="F18" s="32" t="s">
        <v>140</v>
      </c>
      <c r="G18" s="32"/>
      <c r="H18" s="56">
        <v>600</v>
      </c>
      <c r="I18" s="32"/>
      <c r="J18" s="34"/>
      <c r="K18" s="32">
        <v>7</v>
      </c>
      <c r="L18" s="34" t="s">
        <v>173</v>
      </c>
      <c r="M18" s="32" t="s">
        <v>174</v>
      </c>
      <c r="N18" s="32">
        <v>50</v>
      </c>
      <c r="O18" s="32">
        <v>50</v>
      </c>
      <c r="P18" s="32">
        <v>50</v>
      </c>
      <c r="Q18" s="32"/>
      <c r="R18" s="32"/>
      <c r="S18" s="32"/>
      <c r="T18" s="32"/>
      <c r="U18" s="32"/>
      <c r="V18" s="32"/>
      <c r="W18" s="32"/>
      <c r="X18" s="32"/>
      <c r="Y18" s="32"/>
      <c r="Z18" s="65">
        <f t="shared" si="1"/>
        <v>150</v>
      </c>
    </row>
    <row r="19" spans="1:26" ht="30.6" customHeight="1" x14ac:dyDescent="0.3">
      <c r="A19" s="32">
        <v>1</v>
      </c>
      <c r="B19" s="5" t="s">
        <v>25</v>
      </c>
      <c r="C19" s="5" t="s">
        <v>26</v>
      </c>
      <c r="D19" s="228">
        <f t="shared" ca="1" si="0"/>
        <v>14</v>
      </c>
      <c r="E19" s="31">
        <v>40784</v>
      </c>
      <c r="F19" s="32" t="s">
        <v>140</v>
      </c>
      <c r="G19" s="32"/>
      <c r="H19" s="89">
        <v>600</v>
      </c>
      <c r="I19" s="32"/>
      <c r="J19" s="34"/>
      <c r="K19" s="32">
        <v>54</v>
      </c>
      <c r="L19" s="34" t="s">
        <v>365</v>
      </c>
      <c r="M19" s="32" t="s">
        <v>366</v>
      </c>
      <c r="N19" s="32">
        <v>50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65">
        <f t="shared" si="1"/>
        <v>50</v>
      </c>
    </row>
    <row r="20" spans="1:26" ht="30.6" customHeight="1" x14ac:dyDescent="0.3">
      <c r="A20" s="32">
        <v>1</v>
      </c>
      <c r="B20" s="5" t="s">
        <v>27</v>
      </c>
      <c r="C20" s="5" t="s">
        <v>330</v>
      </c>
      <c r="D20" s="228">
        <f t="shared" ca="1" si="0"/>
        <v>14</v>
      </c>
      <c r="E20" s="31">
        <v>40595</v>
      </c>
      <c r="F20" s="32" t="s">
        <v>140</v>
      </c>
      <c r="G20" s="39">
        <v>0.5</v>
      </c>
      <c r="H20" s="56">
        <v>300</v>
      </c>
      <c r="I20" s="32">
        <v>300</v>
      </c>
      <c r="J20" s="34" t="s">
        <v>337</v>
      </c>
      <c r="K20" s="32">
        <v>5</v>
      </c>
      <c r="L20" s="34" t="s">
        <v>167</v>
      </c>
      <c r="M20" s="32">
        <v>36921603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65">
        <f t="shared" si="1"/>
        <v>0</v>
      </c>
    </row>
    <row r="21" spans="1:26" ht="30.6" customHeight="1" x14ac:dyDescent="0.3">
      <c r="A21" s="32">
        <v>1</v>
      </c>
      <c r="B21" s="5" t="s">
        <v>29</v>
      </c>
      <c r="C21" s="5" t="s">
        <v>137</v>
      </c>
      <c r="D21" s="228">
        <f t="shared" ca="1" si="0"/>
        <v>13</v>
      </c>
      <c r="E21" s="30">
        <v>40992</v>
      </c>
      <c r="F21" s="32" t="s">
        <v>140</v>
      </c>
      <c r="G21" s="32"/>
      <c r="H21" s="56">
        <v>600</v>
      </c>
      <c r="I21" s="32"/>
      <c r="J21" s="34" t="s">
        <v>138</v>
      </c>
      <c r="K21" s="32" t="s">
        <v>336</v>
      </c>
      <c r="L21" s="34" t="s">
        <v>139</v>
      </c>
      <c r="M21" s="32" t="s">
        <v>181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65">
        <f t="shared" si="1"/>
        <v>0</v>
      </c>
    </row>
    <row r="22" spans="1:26" ht="30.6" customHeight="1" x14ac:dyDescent="0.3">
      <c r="A22" s="32">
        <v>1</v>
      </c>
      <c r="B22" s="5" t="s">
        <v>30</v>
      </c>
      <c r="C22" s="5" t="s">
        <v>31</v>
      </c>
      <c r="D22" s="228">
        <f t="shared" ca="1" si="0"/>
        <v>14</v>
      </c>
      <c r="E22" s="30">
        <v>40645</v>
      </c>
      <c r="F22" s="32" t="s">
        <v>140</v>
      </c>
      <c r="G22" s="32"/>
      <c r="H22" s="56">
        <v>600</v>
      </c>
      <c r="I22" s="32"/>
      <c r="J22" s="34"/>
      <c r="K22" s="32" t="s">
        <v>259</v>
      </c>
      <c r="L22" s="34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5">
        <f t="shared" si="1"/>
        <v>0</v>
      </c>
    </row>
    <row r="23" spans="1:26" ht="30.6" customHeight="1" x14ac:dyDescent="0.3">
      <c r="A23" s="32">
        <v>1</v>
      </c>
      <c r="B23" s="6" t="s">
        <v>32</v>
      </c>
      <c r="C23" s="6" t="s">
        <v>33</v>
      </c>
      <c r="D23" s="228">
        <f t="shared" ca="1" si="0"/>
        <v>13</v>
      </c>
      <c r="E23" s="30">
        <v>40934</v>
      </c>
      <c r="F23" s="32" t="s">
        <v>140</v>
      </c>
      <c r="G23" s="32"/>
      <c r="H23" s="56">
        <v>650</v>
      </c>
      <c r="I23" s="32"/>
      <c r="J23" s="34" t="s">
        <v>176</v>
      </c>
      <c r="K23" s="32">
        <v>8</v>
      </c>
      <c r="L23" s="34" t="s">
        <v>177</v>
      </c>
      <c r="M23" s="32" t="s">
        <v>178</v>
      </c>
      <c r="N23" s="32">
        <v>50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65">
        <f t="shared" si="1"/>
        <v>50</v>
      </c>
    </row>
    <row r="24" spans="1:26" ht="30.6" customHeight="1" x14ac:dyDescent="0.3">
      <c r="A24" s="32">
        <v>1</v>
      </c>
      <c r="B24" s="5" t="s">
        <v>34</v>
      </c>
      <c r="C24" s="5" t="s">
        <v>35</v>
      </c>
      <c r="D24" s="228">
        <f t="shared" ca="1" si="0"/>
        <v>13</v>
      </c>
      <c r="E24" s="30">
        <v>40888</v>
      </c>
      <c r="F24" s="32"/>
      <c r="G24" s="32"/>
      <c r="H24" s="56">
        <v>1100</v>
      </c>
      <c r="I24" s="32"/>
      <c r="J24" s="34"/>
      <c r="K24" s="32"/>
      <c r="L24" s="34" t="s">
        <v>427</v>
      </c>
      <c r="M24" s="32" t="s">
        <v>428</v>
      </c>
      <c r="N24" s="32">
        <v>50</v>
      </c>
      <c r="O24" s="32">
        <v>50</v>
      </c>
      <c r="P24" s="32">
        <v>50</v>
      </c>
      <c r="Q24" s="32">
        <v>50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32">
        <v>50</v>
      </c>
      <c r="X24" s="32"/>
      <c r="Y24" s="32"/>
      <c r="Z24" s="65">
        <f t="shared" si="1"/>
        <v>500</v>
      </c>
    </row>
    <row r="25" spans="1:26" ht="30.6" customHeight="1" x14ac:dyDescent="0.3">
      <c r="A25" s="32">
        <v>1</v>
      </c>
      <c r="B25" s="6" t="s">
        <v>185</v>
      </c>
      <c r="C25" s="6" t="s">
        <v>186</v>
      </c>
      <c r="D25" s="228">
        <f t="shared" ca="1" si="0"/>
        <v>14</v>
      </c>
      <c r="E25" s="30">
        <v>40665</v>
      </c>
      <c r="F25" s="32" t="s">
        <v>140</v>
      </c>
      <c r="G25" s="39">
        <v>0.5</v>
      </c>
      <c r="H25" s="56">
        <v>300</v>
      </c>
      <c r="I25" s="32">
        <v>300</v>
      </c>
      <c r="J25" s="34" t="s">
        <v>187</v>
      </c>
      <c r="K25" s="32">
        <v>11</v>
      </c>
      <c r="L25" s="34" t="s">
        <v>188</v>
      </c>
      <c r="M25" s="32">
        <v>36921477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5">
        <f t="shared" si="1"/>
        <v>0</v>
      </c>
    </row>
    <row r="26" spans="1:26" ht="30.6" customHeight="1" x14ac:dyDescent="0.3">
      <c r="A26" s="32">
        <v>1</v>
      </c>
      <c r="B26" s="6" t="s">
        <v>36</v>
      </c>
      <c r="C26" s="6" t="s">
        <v>331</v>
      </c>
      <c r="D26" s="228">
        <f t="shared" ca="1" si="0"/>
        <v>14</v>
      </c>
      <c r="E26" s="30">
        <v>40661</v>
      </c>
      <c r="F26" s="32" t="s">
        <v>140</v>
      </c>
      <c r="G26" s="32"/>
      <c r="H26" s="56">
        <v>600</v>
      </c>
      <c r="I26" s="32"/>
      <c r="J26" s="34" t="s">
        <v>179</v>
      </c>
      <c r="K26" s="32">
        <v>19</v>
      </c>
      <c r="L26" s="34" t="s">
        <v>229</v>
      </c>
      <c r="M26" s="32">
        <v>58335953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65">
        <f t="shared" si="1"/>
        <v>0</v>
      </c>
    </row>
    <row r="27" spans="1:26" ht="30.6" customHeight="1" x14ac:dyDescent="0.3">
      <c r="A27" s="32">
        <v>1</v>
      </c>
      <c r="B27" s="6" t="s">
        <v>37</v>
      </c>
      <c r="C27" s="6" t="s">
        <v>38</v>
      </c>
      <c r="D27" s="228">
        <f t="shared" ca="1" si="0"/>
        <v>14</v>
      </c>
      <c r="E27" s="30">
        <v>40791</v>
      </c>
      <c r="F27" s="32" t="s">
        <v>140</v>
      </c>
      <c r="G27" s="32"/>
      <c r="H27" s="56">
        <v>600</v>
      </c>
      <c r="I27" s="32"/>
      <c r="J27" s="34" t="s">
        <v>187</v>
      </c>
      <c r="K27" s="32"/>
      <c r="L27" s="34" t="s">
        <v>269</v>
      </c>
      <c r="M27" s="32" t="s">
        <v>270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65">
        <f t="shared" si="1"/>
        <v>0</v>
      </c>
    </row>
    <row r="28" spans="1:26" ht="30.6" customHeight="1" x14ac:dyDescent="0.3">
      <c r="A28" s="32">
        <v>1</v>
      </c>
      <c r="B28" s="6" t="s">
        <v>142</v>
      </c>
      <c r="C28" s="6" t="s">
        <v>39</v>
      </c>
      <c r="D28" s="228">
        <f t="shared" ca="1" si="0"/>
        <v>16</v>
      </c>
      <c r="E28" s="30">
        <v>39800</v>
      </c>
      <c r="F28" s="32" t="s">
        <v>140</v>
      </c>
      <c r="G28" s="32"/>
      <c r="H28" s="56">
        <v>600</v>
      </c>
      <c r="I28" s="32"/>
      <c r="J28" s="34"/>
      <c r="K28" s="32" t="s">
        <v>272</v>
      </c>
      <c r="L28" s="34" t="s">
        <v>143</v>
      </c>
      <c r="M28" s="32" t="s">
        <v>180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65">
        <f t="shared" si="1"/>
        <v>0</v>
      </c>
    </row>
    <row r="29" spans="1:26" ht="30.6" customHeight="1" x14ac:dyDescent="0.3">
      <c r="A29" s="32">
        <v>1</v>
      </c>
      <c r="B29" s="6" t="s">
        <v>378</v>
      </c>
      <c r="C29" s="6" t="s">
        <v>379</v>
      </c>
      <c r="D29" s="228">
        <f t="shared" ca="1" si="0"/>
        <v>12</v>
      </c>
      <c r="E29" s="30">
        <v>41491</v>
      </c>
      <c r="F29" s="32"/>
      <c r="G29" s="32"/>
      <c r="H29" s="89">
        <v>650</v>
      </c>
      <c r="I29" s="32"/>
      <c r="J29" s="34"/>
      <c r="K29" s="32"/>
      <c r="L29" s="34" t="s">
        <v>376</v>
      </c>
      <c r="M29" s="32" t="s">
        <v>377</v>
      </c>
      <c r="N29" s="32">
        <v>50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65"/>
    </row>
    <row r="30" spans="1:26" ht="30.6" customHeight="1" x14ac:dyDescent="0.3">
      <c r="A30" s="32">
        <v>1</v>
      </c>
      <c r="B30" s="6" t="s">
        <v>386</v>
      </c>
      <c r="C30" s="6" t="s">
        <v>387</v>
      </c>
      <c r="D30" s="228">
        <f t="shared" ca="1" si="0"/>
        <v>13</v>
      </c>
      <c r="E30" s="30">
        <v>40881</v>
      </c>
      <c r="F30" s="32"/>
      <c r="G30" s="32"/>
      <c r="H30" s="89">
        <v>600</v>
      </c>
      <c r="I30" s="32"/>
      <c r="J30" s="34"/>
      <c r="K30" s="32"/>
      <c r="L30" s="34" t="s">
        <v>388</v>
      </c>
      <c r="M30" s="32" t="s">
        <v>389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65"/>
    </row>
    <row r="31" spans="1:26" ht="30.6" customHeight="1" x14ac:dyDescent="0.3">
      <c r="A31" s="32">
        <v>1</v>
      </c>
      <c r="B31" s="6" t="s">
        <v>398</v>
      </c>
      <c r="C31" s="6" t="s">
        <v>399</v>
      </c>
      <c r="D31" s="228">
        <f t="shared" ca="1" si="0"/>
        <v>14</v>
      </c>
      <c r="E31" s="30">
        <v>40528</v>
      </c>
      <c r="F31" s="32"/>
      <c r="G31" s="32"/>
      <c r="H31" s="89">
        <v>300</v>
      </c>
      <c r="I31" s="32">
        <v>300</v>
      </c>
      <c r="J31" s="34" t="s">
        <v>203</v>
      </c>
      <c r="K31" s="32"/>
      <c r="L31" s="34" t="s">
        <v>400</v>
      </c>
      <c r="M31" s="32" t="s">
        <v>401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65"/>
    </row>
    <row r="32" spans="1:26" s="35" customFormat="1" ht="30.6" customHeight="1" x14ac:dyDescent="0.2">
      <c r="A32" s="69">
        <f>SUM(A5:A31)</f>
        <v>27</v>
      </c>
      <c r="B32" s="69"/>
      <c r="C32" s="69"/>
      <c r="D32" s="69"/>
      <c r="E32" s="69"/>
      <c r="F32" s="69"/>
      <c r="G32" s="69"/>
      <c r="H32" s="83">
        <f>SUM(H5:H31)</f>
        <v>15950</v>
      </c>
      <c r="I32" s="69">
        <f>SUM(I5:I28)</f>
        <v>900</v>
      </c>
      <c r="J32" s="78"/>
      <c r="K32" s="69"/>
      <c r="L32" s="78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5">
        <f>SUM(Z5:Z28)</f>
        <v>1100</v>
      </c>
    </row>
    <row r="35" spans="2:2" x14ac:dyDescent="0.3">
      <c r="B35" s="118"/>
    </row>
    <row r="36" spans="2:2" x14ac:dyDescent="0.3">
      <c r="B36" s="118"/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B7D-EEA9-4703-AEC4-3A0DEA239B4C}">
  <dimension ref="A2:Z32"/>
  <sheetViews>
    <sheetView zoomScale="93" workbookViewId="0">
      <selection activeCell="B16" sqref="B16"/>
    </sheetView>
  </sheetViews>
  <sheetFormatPr baseColWidth="10" defaultColWidth="11.5703125" defaultRowHeight="16.5" x14ac:dyDescent="0.3"/>
  <cols>
    <col min="1" max="1" width="5.5703125" style="2" customWidth="1"/>
    <col min="2" max="2" width="30.5703125" style="1" customWidth="1"/>
    <col min="3" max="3" width="36.7109375" style="1" customWidth="1"/>
    <col min="4" max="4" width="9.7109375" style="2" customWidth="1"/>
    <col min="5" max="5" width="30.42578125" style="2" customWidth="1"/>
    <col min="6" max="7" width="18.5703125" style="1" customWidth="1"/>
    <col min="8" max="8" width="18.5703125" style="55" customWidth="1"/>
    <col min="9" max="9" width="18.5703125" style="1" customWidth="1"/>
    <col min="10" max="10" width="18.5703125" style="33" customWidth="1"/>
    <col min="11" max="11" width="18.5703125" style="1" customWidth="1"/>
    <col min="12" max="12" width="31.28515625" style="33" customWidth="1"/>
    <col min="13" max="13" width="21.28515625" style="43" customWidth="1"/>
    <col min="14" max="16384" width="11.5703125" style="1"/>
  </cols>
  <sheetData>
    <row r="2" spans="1:26" ht="17.25" x14ac:dyDescent="0.3">
      <c r="A2" s="19" t="s">
        <v>0</v>
      </c>
      <c r="B2" s="7"/>
      <c r="C2" s="7"/>
      <c r="D2" s="8"/>
      <c r="E2" s="8"/>
      <c r="F2" s="7"/>
      <c r="G2" s="7"/>
      <c r="H2" s="51"/>
      <c r="I2" s="7"/>
      <c r="J2" s="44"/>
      <c r="K2" s="7"/>
    </row>
    <row r="3" spans="1:26" ht="18.75" x14ac:dyDescent="0.3">
      <c r="A3" s="20" t="s">
        <v>230</v>
      </c>
      <c r="B3" s="7"/>
      <c r="C3" s="7"/>
      <c r="D3" s="8"/>
      <c r="E3" s="8"/>
      <c r="F3" s="7"/>
      <c r="G3" s="7"/>
      <c r="H3" s="51"/>
      <c r="I3" s="7"/>
      <c r="J3" s="44"/>
      <c r="K3" s="7"/>
      <c r="N3" s="224" t="s">
        <v>317</v>
      </c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6"/>
    </row>
    <row r="4" spans="1:26" s="4" customFormat="1" ht="30.6" customHeight="1" x14ac:dyDescent="0.25">
      <c r="A4" s="17" t="s">
        <v>48</v>
      </c>
      <c r="B4" s="17" t="s">
        <v>40</v>
      </c>
      <c r="C4" s="17" t="s">
        <v>41</v>
      </c>
      <c r="D4" s="17" t="s">
        <v>42</v>
      </c>
      <c r="E4" s="17" t="s">
        <v>145</v>
      </c>
      <c r="F4" s="17" t="s">
        <v>43</v>
      </c>
      <c r="G4" s="17" t="s">
        <v>46</v>
      </c>
      <c r="H4" s="52" t="s">
        <v>44</v>
      </c>
      <c r="I4" s="18" t="s">
        <v>45</v>
      </c>
      <c r="J4" s="18" t="s">
        <v>148</v>
      </c>
      <c r="K4" s="17" t="s">
        <v>47</v>
      </c>
      <c r="L4" s="18" t="s">
        <v>141</v>
      </c>
      <c r="M4" s="17" t="s">
        <v>168</v>
      </c>
      <c r="N4" s="67" t="s">
        <v>304</v>
      </c>
      <c r="O4" s="67" t="s">
        <v>305</v>
      </c>
      <c r="P4" s="67" t="s">
        <v>306</v>
      </c>
      <c r="Q4" s="67" t="s">
        <v>307</v>
      </c>
      <c r="R4" s="67" t="s">
        <v>308</v>
      </c>
      <c r="S4" s="67" t="s">
        <v>309</v>
      </c>
      <c r="T4" s="67" t="s">
        <v>310</v>
      </c>
      <c r="U4" s="67" t="s">
        <v>311</v>
      </c>
      <c r="V4" s="67" t="s">
        <v>312</v>
      </c>
      <c r="W4" s="67" t="s">
        <v>313</v>
      </c>
      <c r="X4" s="67" t="s">
        <v>314</v>
      </c>
      <c r="Y4" s="67" t="s">
        <v>315</v>
      </c>
      <c r="Z4" s="3" t="s">
        <v>316</v>
      </c>
    </row>
    <row r="5" spans="1:26" ht="30" customHeight="1" x14ac:dyDescent="0.3">
      <c r="A5" s="9">
        <v>1</v>
      </c>
      <c r="B5" s="40" t="s">
        <v>49</v>
      </c>
      <c r="C5" s="40" t="s">
        <v>50</v>
      </c>
      <c r="D5" s="228">
        <f ca="1">TRUNC((TODAY()-E5)/365)</f>
        <v>14</v>
      </c>
      <c r="E5" s="36">
        <v>40583</v>
      </c>
      <c r="F5" s="9"/>
      <c r="G5" s="9">
        <v>25</v>
      </c>
      <c r="H5" s="88">
        <v>600</v>
      </c>
      <c r="I5" s="9"/>
      <c r="J5" s="38" t="s">
        <v>196</v>
      </c>
      <c r="K5" s="9"/>
      <c r="L5" s="34" t="s">
        <v>352</v>
      </c>
      <c r="M5" s="32" t="s">
        <v>353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>
        <f>SUM(N5:Y5)</f>
        <v>0</v>
      </c>
    </row>
    <row r="6" spans="1:26" ht="30" customHeight="1" x14ac:dyDescent="0.3">
      <c r="A6" s="9">
        <v>1</v>
      </c>
      <c r="B6" s="40" t="s">
        <v>51</v>
      </c>
      <c r="C6" s="40" t="s">
        <v>52</v>
      </c>
      <c r="D6" s="228">
        <f t="shared" ref="D6:D31" ca="1" si="0">TRUNC((TODAY()-E6)/365)</f>
        <v>14</v>
      </c>
      <c r="E6" s="36">
        <v>40738</v>
      </c>
      <c r="F6" s="9" t="s">
        <v>151</v>
      </c>
      <c r="G6" s="9"/>
      <c r="H6" s="53">
        <v>600</v>
      </c>
      <c r="I6" s="9"/>
      <c r="J6" s="38" t="s">
        <v>211</v>
      </c>
      <c r="K6" s="9">
        <v>16</v>
      </c>
      <c r="L6" s="34" t="s">
        <v>212</v>
      </c>
      <c r="M6" s="32" t="s">
        <v>213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65">
        <f t="shared" ref="Z6:Z28" si="1">SUM(N6:Y6)</f>
        <v>0</v>
      </c>
    </row>
    <row r="7" spans="1:26" ht="30" customHeight="1" x14ac:dyDescent="0.3">
      <c r="A7" s="9">
        <v>1</v>
      </c>
      <c r="B7" s="48" t="s">
        <v>53</v>
      </c>
      <c r="C7" s="48" t="s">
        <v>54</v>
      </c>
      <c r="D7" s="228">
        <f t="shared" ca="1" si="0"/>
        <v>17</v>
      </c>
      <c r="E7" s="36">
        <v>39569</v>
      </c>
      <c r="F7" s="9"/>
      <c r="G7" s="9">
        <v>50</v>
      </c>
      <c r="H7" s="53">
        <v>500</v>
      </c>
      <c r="I7" s="9">
        <v>100</v>
      </c>
      <c r="J7" s="38" t="s">
        <v>211</v>
      </c>
      <c r="K7" s="9">
        <v>42</v>
      </c>
      <c r="L7" s="34" t="s">
        <v>338</v>
      </c>
      <c r="M7" s="32" t="s">
        <v>339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65">
        <f t="shared" si="1"/>
        <v>0</v>
      </c>
    </row>
    <row r="8" spans="1:26" s="118" customFormat="1" ht="30" customHeight="1" x14ac:dyDescent="0.3">
      <c r="A8" s="95">
        <v>1</v>
      </c>
      <c r="B8" s="114" t="s">
        <v>55</v>
      </c>
      <c r="C8" s="114" t="s">
        <v>56</v>
      </c>
      <c r="D8" s="228">
        <f t="shared" ca="1" si="0"/>
        <v>16</v>
      </c>
      <c r="E8" s="120">
        <v>39995</v>
      </c>
      <c r="F8" s="95" t="s">
        <v>432</v>
      </c>
      <c r="G8" s="121">
        <v>0.25</v>
      </c>
      <c r="H8" s="95">
        <v>700</v>
      </c>
      <c r="I8" s="95"/>
      <c r="J8" s="122"/>
      <c r="K8" s="95"/>
      <c r="L8" s="123" t="s">
        <v>219</v>
      </c>
      <c r="M8" s="96" t="s">
        <v>220</v>
      </c>
      <c r="N8" s="124">
        <v>50</v>
      </c>
      <c r="O8" s="124">
        <v>50</v>
      </c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>
        <f t="shared" si="1"/>
        <v>100</v>
      </c>
    </row>
    <row r="9" spans="1:26" ht="30" customHeight="1" x14ac:dyDescent="0.3">
      <c r="A9" s="9">
        <v>1</v>
      </c>
      <c r="B9" s="40" t="s">
        <v>57</v>
      </c>
      <c r="C9" s="40" t="s">
        <v>302</v>
      </c>
      <c r="D9" s="228">
        <f t="shared" ca="1" si="0"/>
        <v>14</v>
      </c>
      <c r="E9" s="36">
        <v>40604</v>
      </c>
      <c r="F9" s="9"/>
      <c r="G9" s="9"/>
      <c r="H9" s="53">
        <v>600</v>
      </c>
      <c r="I9" s="9"/>
      <c r="J9" s="38"/>
      <c r="K9" s="9">
        <v>38</v>
      </c>
      <c r="L9" s="34" t="s">
        <v>303</v>
      </c>
      <c r="M9" s="32">
        <v>36127776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65">
        <f t="shared" si="1"/>
        <v>0</v>
      </c>
    </row>
    <row r="10" spans="1:26" ht="30" customHeight="1" x14ac:dyDescent="0.3">
      <c r="A10" s="9">
        <v>1</v>
      </c>
      <c r="B10" s="40" t="s">
        <v>59</v>
      </c>
      <c r="C10" s="40" t="s">
        <v>404</v>
      </c>
      <c r="D10" s="228">
        <f t="shared" ca="1" si="0"/>
        <v>18</v>
      </c>
      <c r="E10" s="36">
        <v>39256</v>
      </c>
      <c r="F10" s="9"/>
      <c r="G10" s="9">
        <v>50</v>
      </c>
      <c r="H10" s="53">
        <v>600</v>
      </c>
      <c r="I10" s="9"/>
      <c r="J10" s="38" t="s">
        <v>196</v>
      </c>
      <c r="K10" s="9"/>
      <c r="L10" s="34" t="s">
        <v>405</v>
      </c>
      <c r="M10" s="32">
        <v>59915415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>
        <f t="shared" si="1"/>
        <v>0</v>
      </c>
    </row>
    <row r="11" spans="1:26" ht="30" customHeight="1" x14ac:dyDescent="0.3">
      <c r="A11" s="9">
        <v>1</v>
      </c>
      <c r="B11" s="40" t="s">
        <v>63</v>
      </c>
      <c r="C11" s="40" t="s">
        <v>266</v>
      </c>
      <c r="D11" s="228">
        <f t="shared" ca="1" si="0"/>
        <v>14</v>
      </c>
      <c r="E11" s="36">
        <v>40711</v>
      </c>
      <c r="F11" s="9"/>
      <c r="G11" s="9"/>
      <c r="H11" s="53">
        <v>800</v>
      </c>
      <c r="I11" s="9"/>
      <c r="J11" s="38" t="s">
        <v>267</v>
      </c>
      <c r="K11" s="9"/>
      <c r="L11" s="34" t="s">
        <v>268</v>
      </c>
      <c r="M11" s="32">
        <v>50636279</v>
      </c>
      <c r="N11" s="32">
        <v>50</v>
      </c>
      <c r="O11" s="32">
        <v>50</v>
      </c>
      <c r="P11" s="32">
        <v>50</v>
      </c>
      <c r="Q11" s="32">
        <v>50</v>
      </c>
      <c r="R11" s="32"/>
      <c r="S11" s="32"/>
      <c r="T11" s="32"/>
      <c r="U11" s="32"/>
      <c r="V11" s="32"/>
      <c r="W11" s="32"/>
      <c r="X11" s="32"/>
      <c r="Y11" s="32"/>
      <c r="Z11" s="65">
        <f t="shared" si="1"/>
        <v>200</v>
      </c>
    </row>
    <row r="12" spans="1:26" ht="30" customHeight="1" x14ac:dyDescent="0.3">
      <c r="A12" s="9">
        <v>1</v>
      </c>
      <c r="B12" s="84" t="s">
        <v>64</v>
      </c>
      <c r="C12" s="84" t="s">
        <v>65</v>
      </c>
      <c r="D12" s="228">
        <f t="shared" ca="1" si="0"/>
        <v>17</v>
      </c>
      <c r="E12" s="36">
        <v>39345</v>
      </c>
      <c r="F12" s="9" t="s">
        <v>151</v>
      </c>
      <c r="G12" s="9">
        <v>25</v>
      </c>
      <c r="H12" s="53">
        <v>600</v>
      </c>
      <c r="I12" s="9"/>
      <c r="J12" s="38" t="s">
        <v>221</v>
      </c>
      <c r="K12" s="9">
        <v>44</v>
      </c>
      <c r="L12" s="34" t="s">
        <v>222</v>
      </c>
      <c r="M12" s="32" t="s">
        <v>223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65">
        <f t="shared" si="1"/>
        <v>0</v>
      </c>
    </row>
    <row r="13" spans="1:26" ht="30" customHeight="1" x14ac:dyDescent="0.3">
      <c r="A13" s="9">
        <v>1</v>
      </c>
      <c r="B13" s="84" t="s">
        <v>66</v>
      </c>
      <c r="C13" s="84" t="s">
        <v>150</v>
      </c>
      <c r="D13" s="228">
        <f t="shared" ca="1" si="0"/>
        <v>15</v>
      </c>
      <c r="E13" s="36">
        <v>40406</v>
      </c>
      <c r="F13" s="9" t="s">
        <v>151</v>
      </c>
      <c r="G13" s="9"/>
      <c r="H13" s="53">
        <v>600</v>
      </c>
      <c r="I13" s="9"/>
      <c r="J13" s="38"/>
      <c r="K13" s="9">
        <v>4</v>
      </c>
      <c r="L13" s="34" t="s">
        <v>152</v>
      </c>
      <c r="M13" s="32" t="s">
        <v>183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65">
        <f t="shared" si="1"/>
        <v>0</v>
      </c>
    </row>
    <row r="14" spans="1:26" ht="30" customHeight="1" x14ac:dyDescent="0.3">
      <c r="A14" s="9">
        <v>1</v>
      </c>
      <c r="B14" s="40" t="s">
        <v>67</v>
      </c>
      <c r="C14" s="40" t="s">
        <v>68</v>
      </c>
      <c r="D14" s="228">
        <f t="shared" ca="1" si="0"/>
        <v>14</v>
      </c>
      <c r="E14" s="36">
        <v>40693</v>
      </c>
      <c r="F14" s="9"/>
      <c r="G14" s="9"/>
      <c r="H14" s="53">
        <v>600</v>
      </c>
      <c r="I14" s="9"/>
      <c r="J14" s="38"/>
      <c r="K14" s="9">
        <v>22</v>
      </c>
      <c r="L14" s="34" t="s">
        <v>254</v>
      </c>
      <c r="M14" s="32">
        <v>45232828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65">
        <f t="shared" si="1"/>
        <v>0</v>
      </c>
    </row>
    <row r="15" spans="1:26" ht="30" customHeight="1" x14ac:dyDescent="0.3">
      <c r="A15" s="9">
        <v>1</v>
      </c>
      <c r="B15" s="40" t="s">
        <v>342</v>
      </c>
      <c r="C15" s="40" t="s">
        <v>70</v>
      </c>
      <c r="D15" s="228">
        <f t="shared" ca="1" si="0"/>
        <v>14</v>
      </c>
      <c r="E15" s="36">
        <v>40478</v>
      </c>
      <c r="F15" s="9"/>
      <c r="G15" s="9"/>
      <c r="H15" s="53">
        <v>650</v>
      </c>
      <c r="I15" s="9"/>
      <c r="J15" s="38"/>
      <c r="K15" s="9">
        <v>43</v>
      </c>
      <c r="L15" s="34" t="s">
        <v>343</v>
      </c>
      <c r="M15" s="32" t="s">
        <v>344</v>
      </c>
      <c r="N15" s="32">
        <v>50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65">
        <f t="shared" si="1"/>
        <v>50</v>
      </c>
    </row>
    <row r="16" spans="1:26" ht="30" customHeight="1" x14ac:dyDescent="0.3">
      <c r="A16" s="9">
        <v>1</v>
      </c>
      <c r="B16" s="40" t="s">
        <v>71</v>
      </c>
      <c r="C16" s="40" t="s">
        <v>72</v>
      </c>
      <c r="D16" s="228">
        <f t="shared" ca="1" si="0"/>
        <v>16</v>
      </c>
      <c r="E16" s="36">
        <v>39855</v>
      </c>
      <c r="F16" s="9"/>
      <c r="G16" s="9"/>
      <c r="H16" s="53">
        <v>600</v>
      </c>
      <c r="I16" s="9"/>
      <c r="J16" s="38"/>
      <c r="K16" s="9">
        <v>20</v>
      </c>
      <c r="L16" s="34" t="s">
        <v>139</v>
      </c>
      <c r="M16" s="32" t="s">
        <v>252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65">
        <f t="shared" si="1"/>
        <v>0</v>
      </c>
    </row>
    <row r="17" spans="1:26" ht="30" customHeight="1" x14ac:dyDescent="0.3">
      <c r="A17" s="9">
        <v>1</v>
      </c>
      <c r="B17" s="40" t="s">
        <v>71</v>
      </c>
      <c r="C17" s="84" t="s">
        <v>253</v>
      </c>
      <c r="D17" s="228">
        <f t="shared" ca="1" si="0"/>
        <v>16</v>
      </c>
      <c r="E17" s="36">
        <v>40004</v>
      </c>
      <c r="F17" s="9"/>
      <c r="G17" s="9"/>
      <c r="H17" s="53">
        <v>600</v>
      </c>
      <c r="I17" s="9"/>
      <c r="J17" s="38"/>
      <c r="K17" s="9">
        <v>21</v>
      </c>
      <c r="L17" s="34" t="s">
        <v>139</v>
      </c>
      <c r="M17" s="32" t="s">
        <v>252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65">
        <f t="shared" si="1"/>
        <v>0</v>
      </c>
    </row>
    <row r="18" spans="1:26" ht="30" customHeight="1" x14ac:dyDescent="0.3">
      <c r="A18" s="9">
        <v>1</v>
      </c>
      <c r="B18" s="40" t="s">
        <v>279</v>
      </c>
      <c r="C18" s="40" t="s">
        <v>75</v>
      </c>
      <c r="D18" s="228">
        <f t="shared" ca="1" si="0"/>
        <v>14</v>
      </c>
      <c r="E18" s="36">
        <v>40615</v>
      </c>
      <c r="F18" s="9"/>
      <c r="G18" s="9"/>
      <c r="H18" s="53">
        <v>1100</v>
      </c>
      <c r="I18" s="9"/>
      <c r="J18" s="38" t="s">
        <v>249</v>
      </c>
      <c r="K18" s="9">
        <v>46</v>
      </c>
      <c r="L18" s="34" t="s">
        <v>280</v>
      </c>
      <c r="M18" s="32" t="s">
        <v>281</v>
      </c>
      <c r="N18" s="32">
        <v>50</v>
      </c>
      <c r="O18" s="32">
        <v>50</v>
      </c>
      <c r="P18" s="32">
        <v>50</v>
      </c>
      <c r="Q18" s="32">
        <v>50</v>
      </c>
      <c r="R18" s="32">
        <v>50</v>
      </c>
      <c r="S18" s="32">
        <v>50</v>
      </c>
      <c r="T18" s="32">
        <v>50</v>
      </c>
      <c r="U18" s="32">
        <v>50</v>
      </c>
      <c r="V18" s="32">
        <v>50</v>
      </c>
      <c r="W18" s="32">
        <v>50</v>
      </c>
      <c r="X18" s="32"/>
      <c r="Y18" s="32"/>
      <c r="Z18" s="65">
        <f t="shared" si="1"/>
        <v>500</v>
      </c>
    </row>
    <row r="19" spans="1:26" ht="30" customHeight="1" x14ac:dyDescent="0.3">
      <c r="A19" s="9">
        <v>1</v>
      </c>
      <c r="B19" s="40" t="s">
        <v>247</v>
      </c>
      <c r="C19" s="40" t="s">
        <v>248</v>
      </c>
      <c r="D19" s="228">
        <f t="shared" ca="1" si="0"/>
        <v>14</v>
      </c>
      <c r="E19" s="42">
        <v>40753</v>
      </c>
      <c r="F19" s="9"/>
      <c r="G19" s="9"/>
      <c r="H19" s="53">
        <v>600</v>
      </c>
      <c r="I19" s="9"/>
      <c r="J19" s="38" t="s">
        <v>249</v>
      </c>
      <c r="K19" s="9">
        <v>35</v>
      </c>
      <c r="L19" s="34" t="s">
        <v>250</v>
      </c>
      <c r="M19" s="32" t="s">
        <v>251</v>
      </c>
      <c r="N19" s="32">
        <v>50</v>
      </c>
      <c r="O19" s="32">
        <v>50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65">
        <f t="shared" si="1"/>
        <v>100</v>
      </c>
    </row>
    <row r="20" spans="1:26" ht="30" customHeight="1" x14ac:dyDescent="0.3">
      <c r="A20" s="9">
        <v>1</v>
      </c>
      <c r="B20" s="40" t="s">
        <v>78</v>
      </c>
      <c r="C20" s="40" t="s">
        <v>260</v>
      </c>
      <c r="D20" s="228">
        <f t="shared" ca="1" si="0"/>
        <v>15</v>
      </c>
      <c r="E20" s="42">
        <v>40287</v>
      </c>
      <c r="F20" s="9"/>
      <c r="G20" s="9">
        <v>25</v>
      </c>
      <c r="H20" s="88">
        <v>600</v>
      </c>
      <c r="I20" s="9"/>
      <c r="J20" s="38" t="s">
        <v>203</v>
      </c>
      <c r="K20" s="9">
        <v>26</v>
      </c>
      <c r="L20" s="34" t="s">
        <v>261</v>
      </c>
      <c r="M20" s="32" t="s">
        <v>262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65">
        <f t="shared" si="1"/>
        <v>0</v>
      </c>
    </row>
    <row r="21" spans="1:26" ht="30" customHeight="1" x14ac:dyDescent="0.3">
      <c r="A21" s="9">
        <v>1</v>
      </c>
      <c r="B21" s="40" t="s">
        <v>358</v>
      </c>
      <c r="C21" s="40" t="s">
        <v>357</v>
      </c>
      <c r="D21" s="228">
        <f t="shared" ca="1" si="0"/>
        <v>17</v>
      </c>
      <c r="E21" s="42">
        <v>39670</v>
      </c>
      <c r="F21" s="9"/>
      <c r="G21" s="9">
        <v>25</v>
      </c>
      <c r="H21" s="88">
        <v>600</v>
      </c>
      <c r="I21" s="9"/>
      <c r="J21" s="38" t="s">
        <v>196</v>
      </c>
      <c r="K21" s="9" t="s">
        <v>371</v>
      </c>
      <c r="L21" s="34" t="s">
        <v>359</v>
      </c>
      <c r="M21" s="32" t="s">
        <v>362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65">
        <f t="shared" si="1"/>
        <v>0</v>
      </c>
    </row>
    <row r="22" spans="1:26" ht="30" customHeight="1" x14ac:dyDescent="0.3">
      <c r="A22" s="9">
        <v>1</v>
      </c>
      <c r="B22" s="40" t="s">
        <v>80</v>
      </c>
      <c r="C22" s="40" t="s">
        <v>360</v>
      </c>
      <c r="D22" s="228">
        <f t="shared" ca="1" si="0"/>
        <v>14</v>
      </c>
      <c r="E22" s="42">
        <v>40479</v>
      </c>
      <c r="F22" s="9"/>
      <c r="G22" s="9">
        <v>25</v>
      </c>
      <c r="H22" s="88">
        <v>600</v>
      </c>
      <c r="I22" s="9"/>
      <c r="J22" s="38" t="s">
        <v>361</v>
      </c>
      <c r="K22" s="9">
        <v>52</v>
      </c>
      <c r="L22" s="34" t="s">
        <v>359</v>
      </c>
      <c r="M22" s="32" t="s">
        <v>362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5">
        <f t="shared" si="1"/>
        <v>0</v>
      </c>
    </row>
    <row r="23" spans="1:26" ht="30" customHeight="1" x14ac:dyDescent="0.3">
      <c r="A23" s="9">
        <v>1</v>
      </c>
      <c r="B23" s="40" t="s">
        <v>83</v>
      </c>
      <c r="C23" s="40" t="s">
        <v>84</v>
      </c>
      <c r="D23" s="228">
        <f t="shared" ca="1" si="0"/>
        <v>14</v>
      </c>
      <c r="E23" s="42">
        <v>40528</v>
      </c>
      <c r="F23" s="9"/>
      <c r="G23" s="9">
        <v>50</v>
      </c>
      <c r="H23" s="53">
        <v>700</v>
      </c>
      <c r="I23" s="9">
        <v>0</v>
      </c>
      <c r="J23" s="38" t="s">
        <v>203</v>
      </c>
      <c r="K23" s="9">
        <v>24</v>
      </c>
      <c r="L23" s="34" t="s">
        <v>258</v>
      </c>
      <c r="M23" s="32">
        <v>41859786</v>
      </c>
      <c r="N23" s="32">
        <v>50</v>
      </c>
      <c r="O23" s="32">
        <v>50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65">
        <f t="shared" si="1"/>
        <v>100</v>
      </c>
    </row>
    <row r="24" spans="1:26" ht="30" customHeight="1" x14ac:dyDescent="0.3">
      <c r="A24" s="9">
        <v>1</v>
      </c>
      <c r="B24" s="40" t="s">
        <v>175</v>
      </c>
      <c r="C24" s="40" t="s">
        <v>85</v>
      </c>
      <c r="D24" s="228">
        <f t="shared" ca="1" si="0"/>
        <v>16</v>
      </c>
      <c r="E24" s="42">
        <v>39975</v>
      </c>
      <c r="F24" s="9"/>
      <c r="G24" s="9"/>
      <c r="H24" s="88">
        <v>650</v>
      </c>
      <c r="I24" s="9"/>
      <c r="J24" s="38" t="s">
        <v>164</v>
      </c>
      <c r="K24" s="9"/>
      <c r="L24" s="34" t="s">
        <v>160</v>
      </c>
      <c r="M24" s="32" t="s">
        <v>184</v>
      </c>
      <c r="N24" s="32">
        <v>50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5">
        <f t="shared" si="1"/>
        <v>50</v>
      </c>
    </row>
    <row r="25" spans="1:26" ht="30" customHeight="1" x14ac:dyDescent="0.3">
      <c r="A25" s="9">
        <v>1</v>
      </c>
      <c r="B25" s="40" t="s">
        <v>328</v>
      </c>
      <c r="C25" s="40" t="s">
        <v>87</v>
      </c>
      <c r="D25" s="228">
        <f t="shared" ca="1" si="0"/>
        <v>16</v>
      </c>
      <c r="E25" s="42">
        <v>39839</v>
      </c>
      <c r="F25" s="9"/>
      <c r="G25" s="9"/>
      <c r="H25" s="53">
        <v>700</v>
      </c>
      <c r="I25" s="9"/>
      <c r="J25" s="38"/>
      <c r="K25" s="9">
        <v>23</v>
      </c>
      <c r="L25" s="34" t="s">
        <v>257</v>
      </c>
      <c r="M25" s="32" t="s">
        <v>256</v>
      </c>
      <c r="N25" s="32">
        <v>50</v>
      </c>
      <c r="O25" s="32">
        <v>50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5">
        <f t="shared" si="1"/>
        <v>100</v>
      </c>
    </row>
    <row r="26" spans="1:26" ht="30" customHeight="1" x14ac:dyDescent="0.3">
      <c r="A26" s="9">
        <v>1</v>
      </c>
      <c r="B26" s="40" t="s">
        <v>88</v>
      </c>
      <c r="C26" s="40" t="s">
        <v>89</v>
      </c>
      <c r="D26" s="228">
        <f t="shared" ca="1" si="0"/>
        <v>15</v>
      </c>
      <c r="E26" s="36">
        <v>40253</v>
      </c>
      <c r="F26" s="9"/>
      <c r="G26" s="9"/>
      <c r="H26" s="53">
        <v>300</v>
      </c>
      <c r="I26" s="9">
        <v>300</v>
      </c>
      <c r="J26" s="38" t="s">
        <v>466</v>
      </c>
      <c r="K26" s="9"/>
      <c r="L26" s="34" t="s">
        <v>467</v>
      </c>
      <c r="M26" s="32" t="s">
        <v>468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65">
        <f t="shared" si="1"/>
        <v>0</v>
      </c>
    </row>
    <row r="27" spans="1:26" ht="30" customHeight="1" x14ac:dyDescent="0.3">
      <c r="A27" s="9">
        <v>1</v>
      </c>
      <c r="B27" s="40" t="s">
        <v>37</v>
      </c>
      <c r="C27" s="40" t="s">
        <v>271</v>
      </c>
      <c r="D27" s="228">
        <f t="shared" ca="1" si="0"/>
        <v>15</v>
      </c>
      <c r="E27" s="36">
        <v>40366</v>
      </c>
      <c r="F27" s="9" t="s">
        <v>151</v>
      </c>
      <c r="G27" s="9"/>
      <c r="H27" s="53">
        <v>600</v>
      </c>
      <c r="I27" s="9"/>
      <c r="J27" s="38" t="s">
        <v>218</v>
      </c>
      <c r="K27" s="9"/>
      <c r="L27" s="34" t="s">
        <v>269</v>
      </c>
      <c r="M27" s="32" t="s">
        <v>270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65">
        <f t="shared" si="1"/>
        <v>0</v>
      </c>
    </row>
    <row r="28" spans="1:26" ht="30" customHeight="1" x14ac:dyDescent="0.3">
      <c r="A28" s="9">
        <v>1</v>
      </c>
      <c r="B28" s="40" t="s">
        <v>295</v>
      </c>
      <c r="C28" s="40" t="s">
        <v>294</v>
      </c>
      <c r="D28" s="228">
        <f t="shared" ca="1" si="0"/>
        <v>15</v>
      </c>
      <c r="E28" s="36">
        <v>40269</v>
      </c>
      <c r="F28" s="9"/>
      <c r="G28" s="9"/>
      <c r="H28" s="53">
        <v>600</v>
      </c>
      <c r="I28" s="9"/>
      <c r="J28" s="38" t="s">
        <v>218</v>
      </c>
      <c r="K28" s="9"/>
      <c r="L28" s="34" t="s">
        <v>296</v>
      </c>
      <c r="M28" s="32">
        <v>49190774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65">
        <f t="shared" si="1"/>
        <v>0</v>
      </c>
    </row>
    <row r="29" spans="1:26" ht="30" customHeight="1" x14ac:dyDescent="0.3">
      <c r="A29" s="9">
        <v>1</v>
      </c>
      <c r="B29" s="40" t="s">
        <v>382</v>
      </c>
      <c r="C29" s="40" t="s">
        <v>383</v>
      </c>
      <c r="D29" s="228">
        <f t="shared" ca="1" si="0"/>
        <v>14</v>
      </c>
      <c r="E29" s="36">
        <v>40718</v>
      </c>
      <c r="F29" s="9"/>
      <c r="G29" s="9"/>
      <c r="H29" s="88">
        <v>300</v>
      </c>
      <c r="I29" s="9">
        <v>300</v>
      </c>
      <c r="J29" s="38"/>
      <c r="K29" s="9"/>
      <c r="L29" s="34" t="s">
        <v>384</v>
      </c>
      <c r="M29" s="32" t="s">
        <v>385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65"/>
    </row>
    <row r="30" spans="1:26" ht="30" customHeight="1" x14ac:dyDescent="0.3">
      <c r="A30" s="9">
        <v>1</v>
      </c>
      <c r="B30" s="40" t="s">
        <v>448</v>
      </c>
      <c r="C30" s="40" t="s">
        <v>449</v>
      </c>
      <c r="D30" s="228">
        <f t="shared" ca="1" si="0"/>
        <v>14</v>
      </c>
      <c r="E30" s="36">
        <v>40458</v>
      </c>
      <c r="F30" s="9"/>
      <c r="G30" s="9"/>
      <c r="H30" s="88">
        <v>600</v>
      </c>
      <c r="I30" s="9"/>
      <c r="J30" s="38" t="s">
        <v>445</v>
      </c>
      <c r="K30" s="9"/>
      <c r="L30" s="34" t="s">
        <v>450</v>
      </c>
      <c r="M30" s="32" t="s">
        <v>451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65"/>
    </row>
    <row r="31" spans="1:26" ht="30" customHeight="1" x14ac:dyDescent="0.3">
      <c r="A31" s="9">
        <v>1</v>
      </c>
      <c r="B31" s="40" t="s">
        <v>475</v>
      </c>
      <c r="C31" s="40" t="s">
        <v>476</v>
      </c>
      <c r="D31" s="228">
        <f t="shared" ca="1" si="0"/>
        <v>14</v>
      </c>
      <c r="E31" s="36">
        <v>40509</v>
      </c>
      <c r="F31" s="9"/>
      <c r="G31" s="9"/>
      <c r="H31" s="88">
        <v>600</v>
      </c>
      <c r="I31" s="9"/>
      <c r="J31" s="38"/>
      <c r="K31" s="9"/>
      <c r="L31" s="34" t="s">
        <v>477</v>
      </c>
      <c r="M31" s="32" t="s">
        <v>478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65"/>
    </row>
    <row r="32" spans="1:26" s="35" customFormat="1" ht="30" customHeight="1" x14ac:dyDescent="0.2">
      <c r="A32" s="69">
        <f>SUM(A5:A31)</f>
        <v>27</v>
      </c>
      <c r="B32" s="69"/>
      <c r="C32" s="69"/>
      <c r="D32" s="69"/>
      <c r="E32" s="69"/>
      <c r="F32" s="69"/>
      <c r="G32" s="69"/>
      <c r="H32" s="83">
        <f>SUM(H5:H31)</f>
        <v>16600</v>
      </c>
      <c r="I32" s="69">
        <f>SUM(I5:I26)</f>
        <v>400</v>
      </c>
      <c r="J32" s="78"/>
      <c r="K32" s="69"/>
      <c r="L32" s="78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>
        <f>SUM(Z5:Z28)</f>
        <v>1200</v>
      </c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F86B-85B2-4731-B457-AEB5C7D19170}">
  <dimension ref="A1:Z32"/>
  <sheetViews>
    <sheetView zoomScaleNormal="100" workbookViewId="0">
      <selection activeCell="D1" sqref="D1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50" customWidth="1"/>
    <col min="4" max="4" width="7.7109375" style="2" bestFit="1" customWidth="1"/>
    <col min="5" max="5" width="25.28515625" style="2" customWidth="1"/>
    <col min="6" max="7" width="18.5703125" style="1" customWidth="1"/>
    <col min="8" max="8" width="18.5703125" style="55" customWidth="1"/>
    <col min="9" max="9" width="18.5703125" style="1" customWidth="1"/>
    <col min="10" max="10" width="18.5703125" style="33" customWidth="1"/>
    <col min="11" max="11" width="18.5703125" style="1" customWidth="1"/>
    <col min="12" max="12" width="33.28515625" style="33" customWidth="1"/>
    <col min="13" max="13" width="19.7109375" style="33" customWidth="1"/>
    <col min="14" max="25" width="10.7109375" style="1" customWidth="1"/>
    <col min="26" max="16384" width="11.5703125" style="1"/>
  </cols>
  <sheetData>
    <row r="1" spans="1:26" x14ac:dyDescent="0.3">
      <c r="D1" s="234"/>
    </row>
    <row r="2" spans="1:26" ht="17.25" x14ac:dyDescent="0.3">
      <c r="A2" s="19" t="s">
        <v>0</v>
      </c>
      <c r="B2" s="20"/>
      <c r="C2" s="20"/>
      <c r="D2" s="8"/>
      <c r="E2" s="8"/>
      <c r="F2" s="7"/>
      <c r="G2" s="7"/>
      <c r="H2" s="51"/>
      <c r="I2" s="7"/>
      <c r="J2" s="44"/>
      <c r="K2" s="7"/>
    </row>
    <row r="3" spans="1:26" ht="18.75" x14ac:dyDescent="0.3">
      <c r="A3" s="11" t="s">
        <v>234</v>
      </c>
      <c r="B3" s="11"/>
      <c r="C3" s="11"/>
      <c r="D3" s="70"/>
      <c r="E3" s="70"/>
      <c r="F3" s="71"/>
      <c r="G3" s="71"/>
      <c r="H3" s="72"/>
      <c r="I3" s="71"/>
      <c r="J3" s="73"/>
      <c r="K3" s="71"/>
      <c r="L3" s="74"/>
      <c r="M3" s="74"/>
      <c r="N3" s="227" t="s">
        <v>317</v>
      </c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16"/>
    </row>
    <row r="4" spans="1:26" s="4" customFormat="1" ht="30.6" customHeight="1" x14ac:dyDescent="0.25">
      <c r="A4" s="17" t="s">
        <v>48</v>
      </c>
      <c r="B4" s="47" t="s">
        <v>40</v>
      </c>
      <c r="C4" s="47" t="s">
        <v>41</v>
      </c>
      <c r="D4" s="17" t="s">
        <v>42</v>
      </c>
      <c r="E4" s="17" t="s">
        <v>145</v>
      </c>
      <c r="F4" s="17" t="s">
        <v>43</v>
      </c>
      <c r="G4" s="17" t="s">
        <v>46</v>
      </c>
      <c r="H4" s="52" t="s">
        <v>44</v>
      </c>
      <c r="I4" s="18" t="s">
        <v>45</v>
      </c>
      <c r="J4" s="18" t="s">
        <v>148</v>
      </c>
      <c r="K4" s="17" t="s">
        <v>47</v>
      </c>
      <c r="L4" s="18" t="s">
        <v>141</v>
      </c>
      <c r="M4" s="18" t="s">
        <v>168</v>
      </c>
      <c r="N4" s="67" t="s">
        <v>304</v>
      </c>
      <c r="O4" s="67" t="s">
        <v>305</v>
      </c>
      <c r="P4" s="67" t="s">
        <v>306</v>
      </c>
      <c r="Q4" s="67" t="s">
        <v>307</v>
      </c>
      <c r="R4" s="67" t="s">
        <v>308</v>
      </c>
      <c r="S4" s="67" t="s">
        <v>309</v>
      </c>
      <c r="T4" s="67" t="s">
        <v>310</v>
      </c>
      <c r="U4" s="67" t="s">
        <v>311</v>
      </c>
      <c r="V4" s="67" t="s">
        <v>312</v>
      </c>
      <c r="W4" s="67" t="s">
        <v>313</v>
      </c>
      <c r="X4" s="67" t="s">
        <v>314</v>
      </c>
      <c r="Y4" s="67" t="s">
        <v>315</v>
      </c>
      <c r="Z4" s="3" t="s">
        <v>316</v>
      </c>
    </row>
    <row r="5" spans="1:26" ht="30.6" customHeight="1" x14ac:dyDescent="0.3">
      <c r="A5" s="9"/>
      <c r="B5" s="40" t="s">
        <v>90</v>
      </c>
      <c r="C5" s="40" t="s">
        <v>91</v>
      </c>
      <c r="D5" s="230">
        <v>14</v>
      </c>
      <c r="E5" s="12"/>
      <c r="F5" s="9"/>
      <c r="G5" s="9"/>
      <c r="H5" s="53"/>
      <c r="I5" s="9"/>
      <c r="J5" s="38"/>
      <c r="K5" s="9"/>
      <c r="L5" s="34"/>
      <c r="M5" s="34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65">
        <f>SUM(N5:Y5)</f>
        <v>0</v>
      </c>
    </row>
    <row r="6" spans="1:26" s="66" customFormat="1" ht="30.6" customHeight="1" x14ac:dyDescent="0.3">
      <c r="A6" s="59">
        <v>1</v>
      </c>
      <c r="B6" s="60" t="s">
        <v>92</v>
      </c>
      <c r="C6" s="60" t="s">
        <v>93</v>
      </c>
      <c r="D6" s="230">
        <f ca="1">TRUNC((TODAY()-E6)/365)</f>
        <v>16</v>
      </c>
      <c r="E6" s="61">
        <v>40002</v>
      </c>
      <c r="F6" s="59"/>
      <c r="G6" s="59"/>
      <c r="H6" s="62">
        <v>1100</v>
      </c>
      <c r="I6" s="59"/>
      <c r="J6" s="63"/>
      <c r="K6" s="59">
        <v>29</v>
      </c>
      <c r="L6" s="64" t="s">
        <v>278</v>
      </c>
      <c r="M6" s="64">
        <v>47616125</v>
      </c>
      <c r="N6" s="65">
        <v>50</v>
      </c>
      <c r="O6" s="65">
        <v>50</v>
      </c>
      <c r="P6" s="65">
        <v>50</v>
      </c>
      <c r="Q6" s="65">
        <v>50</v>
      </c>
      <c r="R6" s="65">
        <v>50</v>
      </c>
      <c r="S6" s="65">
        <v>50</v>
      </c>
      <c r="T6" s="65">
        <v>50</v>
      </c>
      <c r="U6" s="65">
        <v>50</v>
      </c>
      <c r="V6" s="65">
        <v>50</v>
      </c>
      <c r="W6" s="65">
        <v>50</v>
      </c>
      <c r="X6" s="65">
        <v>50</v>
      </c>
      <c r="Y6" s="65"/>
      <c r="Z6" s="65">
        <f>SUM(N6:Y6)</f>
        <v>550</v>
      </c>
    </row>
    <row r="7" spans="1:26" ht="30.6" customHeight="1" x14ac:dyDescent="0.3">
      <c r="A7" s="9"/>
      <c r="B7" s="48" t="s">
        <v>94</v>
      </c>
      <c r="C7" s="48" t="s">
        <v>380</v>
      </c>
      <c r="D7" s="230">
        <f t="shared" ref="D7:D25" ca="1" si="0">TRUNC((TODAY()-E7)/365)</f>
        <v>15</v>
      </c>
      <c r="E7" s="36">
        <v>40135</v>
      </c>
      <c r="F7" s="9"/>
      <c r="G7" s="9"/>
      <c r="H7" s="88">
        <v>300</v>
      </c>
      <c r="I7" s="9">
        <v>300</v>
      </c>
      <c r="J7" s="38"/>
      <c r="K7" s="9">
        <v>63</v>
      </c>
      <c r="L7" s="34" t="s">
        <v>381</v>
      </c>
      <c r="M7" s="34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65">
        <f t="shared" ref="Z7:Z23" si="1">SUM(N7:Y7)</f>
        <v>0</v>
      </c>
    </row>
    <row r="8" spans="1:26" ht="30.6" customHeight="1" x14ac:dyDescent="0.3">
      <c r="A8" s="9">
        <v>1</v>
      </c>
      <c r="B8" s="40" t="s">
        <v>95</v>
      </c>
      <c r="C8" s="40" t="s">
        <v>96</v>
      </c>
      <c r="D8" s="233">
        <f t="shared" ca="1" si="0"/>
        <v>16</v>
      </c>
      <c r="E8" s="36">
        <v>40030</v>
      </c>
      <c r="F8" s="9"/>
      <c r="G8" s="9"/>
      <c r="H8" s="88">
        <v>800</v>
      </c>
      <c r="I8" s="9"/>
      <c r="J8" s="38" t="s">
        <v>164</v>
      </c>
      <c r="K8" s="9" t="s">
        <v>370</v>
      </c>
      <c r="L8" s="34" t="s">
        <v>318</v>
      </c>
      <c r="M8" s="34" t="s">
        <v>319</v>
      </c>
      <c r="N8" s="90">
        <v>50</v>
      </c>
      <c r="O8" s="90">
        <v>50</v>
      </c>
      <c r="P8" s="90">
        <v>50</v>
      </c>
      <c r="Q8" s="90">
        <v>50</v>
      </c>
      <c r="R8" s="32"/>
      <c r="S8" s="32"/>
      <c r="T8" s="32"/>
      <c r="U8" s="32"/>
      <c r="V8" s="32"/>
      <c r="W8" s="32"/>
      <c r="X8" s="32"/>
      <c r="Y8" s="32"/>
      <c r="Z8" s="65">
        <f t="shared" si="1"/>
        <v>200</v>
      </c>
    </row>
    <row r="9" spans="1:26" s="66" customFormat="1" ht="30.6" customHeight="1" x14ac:dyDescent="0.3">
      <c r="A9" s="59">
        <v>1</v>
      </c>
      <c r="B9" s="60" t="s">
        <v>61</v>
      </c>
      <c r="C9" s="60" t="s">
        <v>288</v>
      </c>
      <c r="D9" s="232">
        <f t="shared" ca="1" si="0"/>
        <v>16</v>
      </c>
      <c r="E9" s="61">
        <v>40041</v>
      </c>
      <c r="F9" s="59"/>
      <c r="G9" s="59"/>
      <c r="H9" s="62">
        <v>800</v>
      </c>
      <c r="I9" s="59"/>
      <c r="J9" s="63"/>
      <c r="K9" s="59">
        <v>34</v>
      </c>
      <c r="L9" s="64" t="s">
        <v>289</v>
      </c>
      <c r="M9" s="64" t="s">
        <v>290</v>
      </c>
      <c r="N9" s="65">
        <v>50</v>
      </c>
      <c r="O9" s="65">
        <v>50</v>
      </c>
      <c r="P9" s="65">
        <v>50</v>
      </c>
      <c r="Q9" s="65">
        <v>50</v>
      </c>
      <c r="R9" s="65"/>
      <c r="S9" s="65"/>
      <c r="T9" s="65"/>
      <c r="U9" s="65"/>
      <c r="V9" s="65"/>
      <c r="W9" s="65"/>
      <c r="X9" s="65"/>
      <c r="Y9" s="65"/>
      <c r="Z9" s="65">
        <f t="shared" si="1"/>
        <v>200</v>
      </c>
    </row>
    <row r="10" spans="1:26" ht="30.6" customHeight="1" x14ac:dyDescent="0.3">
      <c r="A10" s="9">
        <v>1</v>
      </c>
      <c r="B10" s="40" t="s">
        <v>97</v>
      </c>
      <c r="C10" s="40" t="s">
        <v>98</v>
      </c>
      <c r="D10" s="230">
        <f t="shared" ca="1" si="0"/>
        <v>15</v>
      </c>
      <c r="E10" s="36">
        <v>40329</v>
      </c>
      <c r="F10" s="9"/>
      <c r="G10" s="9"/>
      <c r="H10" s="88">
        <v>150</v>
      </c>
      <c r="I10" s="9">
        <v>450</v>
      </c>
      <c r="J10" s="38"/>
      <c r="K10" s="9">
        <v>50</v>
      </c>
      <c r="L10" s="34" t="s">
        <v>356</v>
      </c>
      <c r="M10" s="34">
        <v>46345995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>
        <f t="shared" si="1"/>
        <v>0</v>
      </c>
    </row>
    <row r="11" spans="1:26" ht="30.6" customHeight="1" x14ac:dyDescent="0.3">
      <c r="A11" s="9"/>
      <c r="B11" s="40" t="s">
        <v>99</v>
      </c>
      <c r="C11" s="40" t="s">
        <v>325</v>
      </c>
      <c r="D11" s="230">
        <f t="shared" ca="1" si="0"/>
        <v>15</v>
      </c>
      <c r="E11" s="36">
        <v>40191</v>
      </c>
      <c r="F11" s="9" t="s">
        <v>140</v>
      </c>
      <c r="G11" s="46">
        <v>0.25</v>
      </c>
      <c r="H11" s="53">
        <v>600</v>
      </c>
      <c r="I11" s="9">
        <v>0</v>
      </c>
      <c r="J11" s="38" t="s">
        <v>170</v>
      </c>
      <c r="K11" s="9">
        <v>6</v>
      </c>
      <c r="L11" s="34" t="s">
        <v>171</v>
      </c>
      <c r="M11" s="34" t="s">
        <v>481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65">
        <f t="shared" si="1"/>
        <v>0</v>
      </c>
    </row>
    <row r="12" spans="1:26" ht="30.6" customHeight="1" x14ac:dyDescent="0.3">
      <c r="A12" s="9">
        <v>1</v>
      </c>
      <c r="B12" s="40" t="s">
        <v>273</v>
      </c>
      <c r="C12" s="40" t="s">
        <v>326</v>
      </c>
      <c r="D12" s="230">
        <f t="shared" ca="1" si="0"/>
        <v>15</v>
      </c>
      <c r="E12" s="36">
        <v>40191</v>
      </c>
      <c r="F12" s="9"/>
      <c r="G12" s="9">
        <v>50</v>
      </c>
      <c r="H12" s="53"/>
      <c r="I12" s="9">
        <v>600</v>
      </c>
      <c r="J12" s="38" t="s">
        <v>274</v>
      </c>
      <c r="K12" s="9"/>
      <c r="L12" s="34" t="s">
        <v>275</v>
      </c>
      <c r="M12" s="34">
        <v>45913845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65">
        <f t="shared" si="1"/>
        <v>0</v>
      </c>
    </row>
    <row r="13" spans="1:26" ht="30.6" customHeight="1" x14ac:dyDescent="0.3">
      <c r="A13" s="9">
        <v>1</v>
      </c>
      <c r="B13" s="40" t="s">
        <v>286</v>
      </c>
      <c r="C13" s="40" t="s">
        <v>104</v>
      </c>
      <c r="D13" s="230">
        <f t="shared" ca="1" si="0"/>
        <v>15</v>
      </c>
      <c r="E13" s="36">
        <v>40363</v>
      </c>
      <c r="F13" s="9"/>
      <c r="G13" s="9">
        <v>50</v>
      </c>
      <c r="H13" s="53">
        <v>400</v>
      </c>
      <c r="I13" s="9">
        <v>200</v>
      </c>
      <c r="J13" s="38" t="s">
        <v>203</v>
      </c>
      <c r="K13" s="9">
        <v>32</v>
      </c>
      <c r="L13" s="34" t="s">
        <v>287</v>
      </c>
      <c r="M13" s="34">
        <v>50121187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65">
        <f t="shared" si="1"/>
        <v>0</v>
      </c>
    </row>
    <row r="14" spans="1:26" ht="30.6" customHeight="1" x14ac:dyDescent="0.3">
      <c r="A14" s="9">
        <v>1</v>
      </c>
      <c r="B14" s="40" t="s">
        <v>105</v>
      </c>
      <c r="C14" s="40" t="s">
        <v>106</v>
      </c>
      <c r="D14" s="230">
        <f t="shared" ca="1" si="0"/>
        <v>15</v>
      </c>
      <c r="E14" s="36">
        <v>40373</v>
      </c>
      <c r="F14" s="9"/>
      <c r="G14" s="9"/>
      <c r="H14" s="53">
        <v>400</v>
      </c>
      <c r="I14" s="9">
        <v>200</v>
      </c>
      <c r="J14" s="38"/>
      <c r="K14" s="9"/>
      <c r="L14" s="34" t="s">
        <v>452</v>
      </c>
      <c r="M14" s="34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65">
        <f t="shared" si="1"/>
        <v>0</v>
      </c>
    </row>
    <row r="15" spans="1:26" ht="30.6" customHeight="1" x14ac:dyDescent="0.3">
      <c r="A15" s="9">
        <v>1</v>
      </c>
      <c r="B15" s="40" t="s">
        <v>276</v>
      </c>
      <c r="C15" s="40" t="s">
        <v>107</v>
      </c>
      <c r="D15" s="230">
        <f t="shared" ca="1" si="0"/>
        <v>16</v>
      </c>
      <c r="E15" s="36">
        <v>39821</v>
      </c>
      <c r="F15" s="9"/>
      <c r="G15" s="9">
        <v>50</v>
      </c>
      <c r="H15" s="53"/>
      <c r="I15" s="9">
        <v>600</v>
      </c>
      <c r="J15" s="38" t="s">
        <v>277</v>
      </c>
      <c r="K15" s="9"/>
      <c r="L15" s="34" t="s">
        <v>275</v>
      </c>
      <c r="M15" s="34">
        <v>45913845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65">
        <f t="shared" si="1"/>
        <v>0</v>
      </c>
    </row>
    <row r="16" spans="1:26" ht="30.6" customHeight="1" x14ac:dyDescent="0.3">
      <c r="A16" s="9">
        <v>1</v>
      </c>
      <c r="B16" s="40" t="s">
        <v>108</v>
      </c>
      <c r="C16" s="84" t="s">
        <v>297</v>
      </c>
      <c r="D16" s="230">
        <f t="shared" ca="1" si="0"/>
        <v>16</v>
      </c>
      <c r="E16" s="42">
        <v>39754</v>
      </c>
      <c r="F16" s="9"/>
      <c r="G16" s="9">
        <v>50</v>
      </c>
      <c r="H16" s="53">
        <v>850</v>
      </c>
      <c r="I16" s="9">
        <v>0</v>
      </c>
      <c r="J16" s="38" t="s">
        <v>277</v>
      </c>
      <c r="K16" s="9">
        <v>36</v>
      </c>
      <c r="L16" s="34" t="s">
        <v>298</v>
      </c>
      <c r="M16" s="34" t="s">
        <v>299</v>
      </c>
      <c r="N16" s="32">
        <v>50</v>
      </c>
      <c r="O16" s="32">
        <v>50</v>
      </c>
      <c r="P16" s="32">
        <v>50</v>
      </c>
      <c r="Q16" s="32">
        <v>50</v>
      </c>
      <c r="R16" s="32">
        <v>50</v>
      </c>
      <c r="S16" s="32"/>
      <c r="T16" s="32"/>
      <c r="U16" s="32"/>
      <c r="V16" s="32"/>
      <c r="W16" s="32"/>
      <c r="X16" s="32"/>
      <c r="Y16" s="32"/>
      <c r="Z16" s="65">
        <f t="shared" si="1"/>
        <v>250</v>
      </c>
    </row>
    <row r="17" spans="1:26" ht="30.6" customHeight="1" x14ac:dyDescent="0.3">
      <c r="A17" s="9">
        <v>1</v>
      </c>
      <c r="B17" s="40" t="s">
        <v>110</v>
      </c>
      <c r="C17" s="40" t="s">
        <v>111</v>
      </c>
      <c r="D17" s="230">
        <f t="shared" ca="1" si="0"/>
        <v>17</v>
      </c>
      <c r="E17" s="91">
        <v>39610</v>
      </c>
      <c r="F17" s="9"/>
      <c r="G17" s="9"/>
      <c r="H17" s="88">
        <v>600</v>
      </c>
      <c r="I17" s="9"/>
      <c r="J17" s="38"/>
      <c r="K17" s="9">
        <v>61</v>
      </c>
      <c r="L17" s="34"/>
      <c r="M17" s="34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65">
        <f t="shared" si="1"/>
        <v>0</v>
      </c>
    </row>
    <row r="18" spans="1:26" ht="30.6" customHeight="1" x14ac:dyDescent="0.3">
      <c r="A18" s="9">
        <v>1</v>
      </c>
      <c r="B18" s="40" t="s">
        <v>112</v>
      </c>
      <c r="C18" s="40" t="s">
        <v>113</v>
      </c>
      <c r="D18" s="230"/>
      <c r="E18" s="13"/>
      <c r="F18" s="9"/>
      <c r="G18" s="9"/>
      <c r="H18" s="53">
        <v>600</v>
      </c>
      <c r="I18" s="9">
        <v>0</v>
      </c>
      <c r="J18" s="38"/>
      <c r="K18" s="9"/>
      <c r="L18" s="34" t="s">
        <v>454</v>
      </c>
      <c r="M18" s="34" t="s">
        <v>453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65">
        <f t="shared" si="1"/>
        <v>0</v>
      </c>
    </row>
    <row r="19" spans="1:26" ht="30.6" customHeight="1" x14ac:dyDescent="0.3">
      <c r="A19" s="9">
        <v>1</v>
      </c>
      <c r="B19" s="40" t="s">
        <v>114</v>
      </c>
      <c r="C19" s="84" t="s">
        <v>327</v>
      </c>
      <c r="D19" s="230">
        <f t="shared" ca="1" si="0"/>
        <v>16</v>
      </c>
      <c r="E19" s="42">
        <v>39963</v>
      </c>
      <c r="F19" s="9"/>
      <c r="G19" s="9">
        <v>50</v>
      </c>
      <c r="H19" s="53">
        <v>600</v>
      </c>
      <c r="I19" s="9"/>
      <c r="J19" s="38" t="s">
        <v>211</v>
      </c>
      <c r="K19" s="9">
        <v>31</v>
      </c>
      <c r="L19" s="34" t="s">
        <v>285</v>
      </c>
      <c r="M19" s="34">
        <v>43393260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65">
        <f t="shared" si="1"/>
        <v>0</v>
      </c>
    </row>
    <row r="20" spans="1:26" ht="30.6" customHeight="1" x14ac:dyDescent="0.3">
      <c r="A20" s="9">
        <v>1</v>
      </c>
      <c r="B20" s="40" t="s">
        <v>116</v>
      </c>
      <c r="C20" s="40" t="s">
        <v>291</v>
      </c>
      <c r="D20" s="230">
        <f t="shared" ca="1" si="0"/>
        <v>16</v>
      </c>
      <c r="E20" s="42">
        <v>39849</v>
      </c>
      <c r="F20" s="9"/>
      <c r="G20" s="9"/>
      <c r="H20" s="88">
        <v>650</v>
      </c>
      <c r="I20" s="9"/>
      <c r="J20" s="38"/>
      <c r="K20" s="9">
        <v>48</v>
      </c>
      <c r="L20" s="34" t="s">
        <v>292</v>
      </c>
      <c r="M20" s="34" t="s">
        <v>293</v>
      </c>
      <c r="N20" s="32">
        <v>50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65">
        <f t="shared" si="1"/>
        <v>50</v>
      </c>
    </row>
    <row r="21" spans="1:26" ht="30.6" customHeight="1" x14ac:dyDescent="0.3">
      <c r="A21" s="9">
        <v>1</v>
      </c>
      <c r="B21" s="40" t="s">
        <v>190</v>
      </c>
      <c r="C21" s="40" t="s">
        <v>189</v>
      </c>
      <c r="D21" s="230">
        <f t="shared" ca="1" si="0"/>
        <v>16</v>
      </c>
      <c r="E21" s="42">
        <v>39724</v>
      </c>
      <c r="F21" s="9"/>
      <c r="G21" s="9"/>
      <c r="H21" s="53">
        <v>600</v>
      </c>
      <c r="I21" s="9">
        <v>300</v>
      </c>
      <c r="J21" s="38" t="s">
        <v>191</v>
      </c>
      <c r="K21" s="9">
        <v>12</v>
      </c>
      <c r="L21" s="34" t="s">
        <v>192</v>
      </c>
      <c r="M21" s="34" t="s">
        <v>193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65">
        <f t="shared" si="1"/>
        <v>0</v>
      </c>
    </row>
    <row r="22" spans="1:26" ht="30.6" customHeight="1" x14ac:dyDescent="0.3">
      <c r="A22" s="9">
        <v>1</v>
      </c>
      <c r="B22" s="40" t="s">
        <v>217</v>
      </c>
      <c r="C22" s="40" t="s">
        <v>216</v>
      </c>
      <c r="D22" s="230">
        <f t="shared" ca="1" si="0"/>
        <v>17</v>
      </c>
      <c r="E22" s="42">
        <v>39539</v>
      </c>
      <c r="F22" s="9" t="s">
        <v>140</v>
      </c>
      <c r="G22" s="9"/>
      <c r="H22" s="53">
        <v>600</v>
      </c>
      <c r="I22" s="9"/>
      <c r="J22" s="38" t="s">
        <v>164</v>
      </c>
      <c r="K22" s="9">
        <v>17</v>
      </c>
      <c r="L22" s="34" t="s">
        <v>214</v>
      </c>
      <c r="M22" s="34" t="s">
        <v>215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65">
        <f t="shared" si="1"/>
        <v>0</v>
      </c>
    </row>
    <row r="23" spans="1:26" ht="30.6" customHeight="1" x14ac:dyDescent="0.3">
      <c r="A23" s="9">
        <v>1</v>
      </c>
      <c r="B23" s="40" t="s">
        <v>118</v>
      </c>
      <c r="C23" s="40" t="s">
        <v>282</v>
      </c>
      <c r="D23" s="230">
        <f t="shared" ca="1" si="0"/>
        <v>16</v>
      </c>
      <c r="E23" s="36">
        <v>39826</v>
      </c>
      <c r="F23" s="9"/>
      <c r="G23" s="9"/>
      <c r="H23" s="53">
        <v>650</v>
      </c>
      <c r="I23" s="9"/>
      <c r="J23" s="57"/>
      <c r="K23" s="9">
        <v>30</v>
      </c>
      <c r="L23" s="34" t="s">
        <v>283</v>
      </c>
      <c r="M23" s="34">
        <v>41343873</v>
      </c>
      <c r="N23" s="32">
        <v>50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65">
        <f t="shared" si="1"/>
        <v>50</v>
      </c>
    </row>
    <row r="24" spans="1:26" ht="30.6" customHeight="1" x14ac:dyDescent="0.3">
      <c r="A24" s="9">
        <v>1</v>
      </c>
      <c r="B24" s="40" t="s">
        <v>374</v>
      </c>
      <c r="C24" s="40" t="s">
        <v>391</v>
      </c>
      <c r="D24" s="231"/>
      <c r="E24" s="36"/>
      <c r="F24" s="9"/>
      <c r="G24" s="9"/>
      <c r="H24" s="88">
        <v>650</v>
      </c>
      <c r="I24" s="9"/>
      <c r="J24" s="57"/>
      <c r="K24" s="9"/>
      <c r="L24" s="34"/>
      <c r="M24" s="34"/>
      <c r="N24" s="32">
        <v>50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5"/>
    </row>
    <row r="25" spans="1:26" ht="30.6" customHeight="1" x14ac:dyDescent="0.3">
      <c r="A25" s="9">
        <v>1</v>
      </c>
      <c r="B25" s="40" t="s">
        <v>442</v>
      </c>
      <c r="C25" s="40" t="s">
        <v>443</v>
      </c>
      <c r="D25" s="230">
        <f t="shared" ca="1" si="0"/>
        <v>16</v>
      </c>
      <c r="E25" s="36">
        <v>39997</v>
      </c>
      <c r="F25" s="38" t="s">
        <v>444</v>
      </c>
      <c r="G25" s="9"/>
      <c r="H25" s="88">
        <v>600</v>
      </c>
      <c r="I25" s="9"/>
      <c r="J25" s="57" t="s">
        <v>445</v>
      </c>
      <c r="K25" s="9"/>
      <c r="L25" s="34" t="s">
        <v>446</v>
      </c>
      <c r="M25" s="34" t="s">
        <v>447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5"/>
    </row>
    <row r="26" spans="1:26" s="35" customFormat="1" ht="30.6" customHeight="1" x14ac:dyDescent="0.2">
      <c r="A26" s="3">
        <f>SUM(A5:A25)</f>
        <v>18</v>
      </c>
      <c r="B26" s="75"/>
      <c r="C26" s="75"/>
      <c r="D26" s="76"/>
      <c r="E26" s="76"/>
      <c r="F26" s="3"/>
      <c r="G26" s="3"/>
      <c r="H26" s="52">
        <f>SUM(H5:H25)</f>
        <v>10950</v>
      </c>
      <c r="I26" s="3">
        <f>SUM(I5:I23)</f>
        <v>2650</v>
      </c>
      <c r="J26" s="77"/>
      <c r="K26" s="3"/>
      <c r="L26" s="78"/>
      <c r="M26" s="7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>
        <f>SUM(Z5:Z23)</f>
        <v>1300</v>
      </c>
    </row>
    <row r="27" spans="1:26" ht="22.9" customHeight="1" x14ac:dyDescent="0.3">
      <c r="A27" s="21"/>
      <c r="B27" s="49"/>
      <c r="C27" s="49"/>
      <c r="D27" s="23"/>
      <c r="E27" s="23"/>
      <c r="F27" s="24"/>
      <c r="G27" s="24"/>
      <c r="H27" s="54"/>
      <c r="I27" s="24"/>
      <c r="J27" s="45"/>
      <c r="K27" s="24"/>
      <c r="L27" s="58"/>
    </row>
    <row r="28" spans="1:26" ht="22.9" customHeight="1" x14ac:dyDescent="0.3">
      <c r="A28" s="21"/>
      <c r="B28" s="49"/>
      <c r="C28" s="49"/>
      <c r="D28" s="23"/>
      <c r="E28" s="23"/>
      <c r="F28" s="24"/>
      <c r="G28" s="24"/>
      <c r="H28" s="54"/>
      <c r="I28" s="24"/>
      <c r="J28" s="45"/>
      <c r="K28" s="24"/>
      <c r="L28" s="58"/>
    </row>
    <row r="29" spans="1:26" ht="22.9" customHeight="1" x14ac:dyDescent="0.3">
      <c r="A29" s="21"/>
      <c r="B29" s="49"/>
      <c r="C29" s="49"/>
      <c r="D29" s="23"/>
      <c r="E29" s="23"/>
      <c r="F29" s="24"/>
      <c r="G29" s="24"/>
      <c r="H29" s="54"/>
      <c r="I29" s="24"/>
      <c r="J29" s="45"/>
      <c r="K29" s="24"/>
      <c r="L29" s="58"/>
    </row>
    <row r="30" spans="1:26" ht="22.9" customHeight="1" x14ac:dyDescent="0.3">
      <c r="A30" s="21"/>
      <c r="B30" s="49"/>
      <c r="C30" s="49"/>
      <c r="D30" s="23"/>
      <c r="E30" s="23"/>
      <c r="F30" s="24"/>
      <c r="G30" s="24"/>
      <c r="H30" s="54"/>
      <c r="I30" s="24"/>
      <c r="J30" s="45"/>
      <c r="K30" s="24"/>
      <c r="L30" s="58"/>
    </row>
    <row r="31" spans="1:26" ht="22.9" customHeight="1" x14ac:dyDescent="0.3">
      <c r="A31" s="21"/>
      <c r="B31" s="49"/>
      <c r="C31" s="49"/>
      <c r="D31" s="23"/>
      <c r="E31" s="23"/>
      <c r="F31" s="24"/>
      <c r="G31" s="24"/>
      <c r="H31" s="54"/>
      <c r="I31" s="24"/>
      <c r="J31" s="45"/>
      <c r="K31" s="24"/>
      <c r="L31" s="58"/>
    </row>
    <row r="32" spans="1:26" ht="22.9" customHeight="1" x14ac:dyDescent="0.3">
      <c r="A32" s="21"/>
      <c r="B32" s="49"/>
      <c r="C32" s="49"/>
      <c r="D32" s="29"/>
      <c r="E32" s="29"/>
      <c r="F32" s="24"/>
      <c r="G32" s="24"/>
      <c r="H32" s="54"/>
      <c r="I32" s="24"/>
      <c r="J32" s="45"/>
      <c r="K32" s="24"/>
      <c r="L32" s="58"/>
    </row>
  </sheetData>
  <autoFilter ref="A2:Z26" xr:uid="{13BBF86B-85B2-4731-B457-AEB5C7D19170}"/>
  <mergeCells count="1">
    <mergeCell ref="N3:Y3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C0E-9D4B-4FEF-A300-88FA52F10B3D}">
  <dimension ref="A2:Z33"/>
  <sheetViews>
    <sheetView topLeftCell="A7" workbookViewId="0">
      <selection activeCell="D18" sqref="D18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1" customWidth="1"/>
    <col min="4" max="4" width="9.7109375" style="2" customWidth="1"/>
    <col min="5" max="5" width="25.42578125" style="2" customWidth="1"/>
    <col min="6" max="6" width="18.5703125" style="33" customWidth="1"/>
    <col min="7" max="11" width="18.5703125" style="1" customWidth="1"/>
    <col min="12" max="12" width="32.7109375" style="1" customWidth="1"/>
    <col min="13" max="13" width="21.140625" style="1" customWidth="1"/>
    <col min="14" max="16384" width="11.5703125" style="1"/>
  </cols>
  <sheetData>
    <row r="2" spans="1:26" ht="17.25" x14ac:dyDescent="0.3">
      <c r="A2" s="19" t="s">
        <v>0</v>
      </c>
      <c r="B2" s="7"/>
      <c r="C2" s="7"/>
      <c r="D2" s="8"/>
      <c r="E2" s="8"/>
      <c r="F2" s="44"/>
      <c r="G2" s="7"/>
      <c r="H2" s="7"/>
      <c r="I2" s="7"/>
      <c r="J2" s="7"/>
      <c r="K2" s="7"/>
    </row>
    <row r="3" spans="1:26" ht="18.75" x14ac:dyDescent="0.3">
      <c r="A3" s="20" t="s">
        <v>235</v>
      </c>
      <c r="B3" s="7"/>
      <c r="C3" s="7"/>
      <c r="D3" s="8"/>
      <c r="E3" s="8"/>
      <c r="F3" s="44"/>
      <c r="G3" s="7"/>
      <c r="H3" s="7"/>
      <c r="I3" s="7"/>
      <c r="J3" s="7"/>
      <c r="K3" s="7"/>
      <c r="N3" s="224" t="s">
        <v>317</v>
      </c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6"/>
    </row>
    <row r="4" spans="1:26" s="4" customFormat="1" ht="30.6" customHeight="1" x14ac:dyDescent="0.25">
      <c r="A4" s="17" t="s">
        <v>48</v>
      </c>
      <c r="B4" s="17" t="s">
        <v>40</v>
      </c>
      <c r="C4" s="17" t="s">
        <v>41</v>
      </c>
      <c r="D4" s="17" t="s">
        <v>42</v>
      </c>
      <c r="E4" s="17" t="s">
        <v>145</v>
      </c>
      <c r="F4" s="18" t="s">
        <v>43</v>
      </c>
      <c r="G4" s="17" t="s">
        <v>46</v>
      </c>
      <c r="H4" s="17" t="s">
        <v>44</v>
      </c>
      <c r="I4" s="18" t="s">
        <v>45</v>
      </c>
      <c r="J4" s="18" t="s">
        <v>148</v>
      </c>
      <c r="K4" s="17" t="s">
        <v>47</v>
      </c>
      <c r="L4" s="17" t="s">
        <v>141</v>
      </c>
      <c r="M4" s="17" t="s">
        <v>168</v>
      </c>
      <c r="N4" s="67" t="s">
        <v>304</v>
      </c>
      <c r="O4" s="67" t="s">
        <v>305</v>
      </c>
      <c r="P4" s="67" t="s">
        <v>306</v>
      </c>
      <c r="Q4" s="67" t="s">
        <v>307</v>
      </c>
      <c r="R4" s="67" t="s">
        <v>308</v>
      </c>
      <c r="S4" s="67" t="s">
        <v>309</v>
      </c>
      <c r="T4" s="67" t="s">
        <v>310</v>
      </c>
      <c r="U4" s="67" t="s">
        <v>311</v>
      </c>
      <c r="V4" s="67" t="s">
        <v>312</v>
      </c>
      <c r="W4" s="67" t="s">
        <v>313</v>
      </c>
      <c r="X4" s="67" t="s">
        <v>314</v>
      </c>
      <c r="Y4" s="67" t="s">
        <v>315</v>
      </c>
      <c r="Z4" s="3" t="s">
        <v>316</v>
      </c>
    </row>
    <row r="5" spans="1:26" ht="30" customHeight="1" x14ac:dyDescent="0.3">
      <c r="A5" s="9">
        <v>1</v>
      </c>
      <c r="B5" s="40" t="s">
        <v>120</v>
      </c>
      <c r="C5" s="40" t="s">
        <v>121</v>
      </c>
      <c r="D5" s="228">
        <f t="shared" ref="D5:D18" ca="1" si="0">TRUNC((TODAY()-E5)/365)</f>
        <v>18</v>
      </c>
      <c r="E5" s="36">
        <v>39141</v>
      </c>
      <c r="F5" s="38"/>
      <c r="G5" s="9">
        <v>50</v>
      </c>
      <c r="H5" s="87">
        <v>600</v>
      </c>
      <c r="I5" s="9"/>
      <c r="J5" s="38"/>
      <c r="K5" s="9">
        <v>65</v>
      </c>
      <c r="L5" s="34" t="s">
        <v>372</v>
      </c>
      <c r="M5" s="32" t="s">
        <v>373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65">
        <f>SUM(N5:Y5)</f>
        <v>0</v>
      </c>
    </row>
    <row r="6" spans="1:26" ht="30" customHeight="1" x14ac:dyDescent="0.3">
      <c r="A6" s="9">
        <v>1</v>
      </c>
      <c r="B6" s="40" t="s">
        <v>122</v>
      </c>
      <c r="C6" s="40" t="s">
        <v>349</v>
      </c>
      <c r="D6" s="228">
        <f t="shared" ca="1" si="0"/>
        <v>17</v>
      </c>
      <c r="E6" s="86">
        <v>39506</v>
      </c>
      <c r="F6" s="38"/>
      <c r="G6" s="9">
        <v>25</v>
      </c>
      <c r="H6" s="87">
        <v>650</v>
      </c>
      <c r="I6" s="9"/>
      <c r="J6" s="38"/>
      <c r="K6" s="9">
        <v>47</v>
      </c>
      <c r="L6" s="34" t="s">
        <v>350</v>
      </c>
      <c r="M6" s="32" t="s">
        <v>351</v>
      </c>
      <c r="N6" s="65">
        <v>50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>
        <f>SUM(N6:Y6)</f>
        <v>50</v>
      </c>
    </row>
    <row r="7" spans="1:26" ht="30" customHeight="1" x14ac:dyDescent="0.3">
      <c r="A7" s="9">
        <v>1</v>
      </c>
      <c r="B7" s="40" t="s">
        <v>59</v>
      </c>
      <c r="C7" s="40" t="s">
        <v>124</v>
      </c>
      <c r="D7" s="228">
        <f t="shared" ca="1" si="0"/>
        <v>20</v>
      </c>
      <c r="E7" s="36">
        <v>38353</v>
      </c>
      <c r="F7" s="38"/>
      <c r="G7" s="9">
        <v>50</v>
      </c>
      <c r="H7" s="9">
        <v>600</v>
      </c>
      <c r="I7" s="9"/>
      <c r="J7" s="38"/>
      <c r="K7" s="9"/>
      <c r="L7" s="34" t="s">
        <v>405</v>
      </c>
      <c r="M7" s="32">
        <v>59915415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65">
        <f t="shared" ref="Z7:Z13" si="1">SUM(N7:Y7)</f>
        <v>0</v>
      </c>
    </row>
    <row r="8" spans="1:26" ht="30" customHeight="1" x14ac:dyDescent="0.3">
      <c r="A8" s="9">
        <v>1</v>
      </c>
      <c r="B8" s="40" t="s">
        <v>321</v>
      </c>
      <c r="C8" s="40" t="s">
        <v>125</v>
      </c>
      <c r="D8" s="228">
        <f t="shared" ca="1" si="0"/>
        <v>15</v>
      </c>
      <c r="E8" s="36">
        <v>40302</v>
      </c>
      <c r="F8" s="38"/>
      <c r="G8" s="9">
        <v>50</v>
      </c>
      <c r="H8" s="9">
        <v>600</v>
      </c>
      <c r="I8" s="9"/>
      <c r="J8" s="38" t="s">
        <v>203</v>
      </c>
      <c r="K8" s="9"/>
      <c r="L8" s="34" t="s">
        <v>322</v>
      </c>
      <c r="M8" s="34" t="s">
        <v>323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>
        <f t="shared" si="1"/>
        <v>0</v>
      </c>
    </row>
    <row r="9" spans="1:26" ht="30" customHeight="1" x14ac:dyDescent="0.3">
      <c r="A9" s="9">
        <v>1</v>
      </c>
      <c r="B9" s="40" t="s">
        <v>25</v>
      </c>
      <c r="C9" s="40" t="s">
        <v>363</v>
      </c>
      <c r="D9" s="228">
        <f t="shared" ca="1" si="0"/>
        <v>16</v>
      </c>
      <c r="E9" s="42">
        <v>39733</v>
      </c>
      <c r="F9" s="38" t="s">
        <v>151</v>
      </c>
      <c r="G9" s="87">
        <v>50</v>
      </c>
      <c r="H9" s="87">
        <v>650</v>
      </c>
      <c r="I9" s="9"/>
      <c r="J9" s="38"/>
      <c r="K9" s="9">
        <v>53</v>
      </c>
      <c r="L9" s="34" t="s">
        <v>364</v>
      </c>
      <c r="M9" s="32">
        <v>35891672</v>
      </c>
      <c r="N9" s="32">
        <v>50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65">
        <f t="shared" si="1"/>
        <v>50</v>
      </c>
    </row>
    <row r="10" spans="1:26" ht="30" customHeight="1" x14ac:dyDescent="0.3">
      <c r="A10" s="9"/>
      <c r="B10" s="40" t="s">
        <v>126</v>
      </c>
      <c r="C10" s="40" t="s">
        <v>127</v>
      </c>
      <c r="D10" s="228">
        <f t="shared" ca="1" si="0"/>
        <v>125</v>
      </c>
      <c r="E10" s="13"/>
      <c r="F10" s="38"/>
      <c r="G10" s="9"/>
      <c r="H10" s="9"/>
      <c r="I10" s="9"/>
      <c r="J10" s="38"/>
      <c r="K10" s="9"/>
      <c r="L10" s="3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>
        <f t="shared" si="1"/>
        <v>0</v>
      </c>
    </row>
    <row r="11" spans="1:26" ht="30" customHeight="1" x14ac:dyDescent="0.3">
      <c r="A11" s="9">
        <v>1</v>
      </c>
      <c r="B11" s="40" t="s">
        <v>149</v>
      </c>
      <c r="C11" s="40" t="s">
        <v>146</v>
      </c>
      <c r="D11" s="228">
        <f t="shared" ca="1" si="0"/>
        <v>16</v>
      </c>
      <c r="E11" s="36">
        <v>39872</v>
      </c>
      <c r="F11" s="38"/>
      <c r="G11" s="9"/>
      <c r="H11" s="9">
        <v>600</v>
      </c>
      <c r="I11" s="9"/>
      <c r="J11" s="38"/>
      <c r="K11" s="9">
        <v>10</v>
      </c>
      <c r="L11" s="38" t="s">
        <v>147</v>
      </c>
      <c r="M11" s="32" t="s">
        <v>194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65">
        <f t="shared" si="1"/>
        <v>0</v>
      </c>
    </row>
    <row r="12" spans="1:26" ht="30" customHeight="1" x14ac:dyDescent="0.3">
      <c r="A12" s="9"/>
      <c r="B12" s="40" t="s">
        <v>161</v>
      </c>
      <c r="C12" s="40" t="s">
        <v>162</v>
      </c>
      <c r="D12" s="228">
        <f t="shared" ca="1" si="0"/>
        <v>22</v>
      </c>
      <c r="E12" s="36">
        <v>37524</v>
      </c>
      <c r="F12" s="38" t="s">
        <v>163</v>
      </c>
      <c r="G12" s="9"/>
      <c r="H12" s="9"/>
      <c r="I12" s="9">
        <v>600</v>
      </c>
      <c r="J12" s="38" t="s">
        <v>164</v>
      </c>
      <c r="K12" s="9"/>
      <c r="L12" s="9" t="s">
        <v>165</v>
      </c>
      <c r="M12" s="9" t="s">
        <v>166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65">
        <f t="shared" si="1"/>
        <v>0</v>
      </c>
    </row>
    <row r="13" spans="1:26" ht="30" customHeight="1" x14ac:dyDescent="0.3">
      <c r="A13" s="9">
        <v>1</v>
      </c>
      <c r="B13" s="40" t="s">
        <v>263</v>
      </c>
      <c r="C13" s="40" t="s">
        <v>264</v>
      </c>
      <c r="D13" s="228">
        <f t="shared" ca="1" si="0"/>
        <v>17</v>
      </c>
      <c r="E13" s="36">
        <v>39345</v>
      </c>
      <c r="F13" s="38"/>
      <c r="G13" s="9"/>
      <c r="H13" s="9">
        <v>1700</v>
      </c>
      <c r="I13" s="9"/>
      <c r="J13" s="38"/>
      <c r="K13" s="9">
        <v>27</v>
      </c>
      <c r="L13" s="9" t="s">
        <v>265</v>
      </c>
      <c r="M13" s="9">
        <v>56975230</v>
      </c>
      <c r="N13" s="32">
        <v>50</v>
      </c>
      <c r="O13" s="32">
        <v>50</v>
      </c>
      <c r="P13" s="32">
        <v>50</v>
      </c>
      <c r="Q13" s="32">
        <v>50</v>
      </c>
      <c r="R13" s="32">
        <v>50</v>
      </c>
      <c r="S13" s="32">
        <v>50</v>
      </c>
      <c r="T13" s="32">
        <v>50</v>
      </c>
      <c r="U13" s="32">
        <v>50</v>
      </c>
      <c r="V13" s="32">
        <v>50</v>
      </c>
      <c r="W13" s="32">
        <v>50</v>
      </c>
      <c r="X13" s="32"/>
      <c r="Y13" s="32"/>
      <c r="Z13" s="65">
        <f t="shared" si="1"/>
        <v>500</v>
      </c>
    </row>
    <row r="14" spans="1:26" ht="30" customHeight="1" x14ac:dyDescent="0.3">
      <c r="A14" s="9">
        <v>1</v>
      </c>
      <c r="B14" s="40" t="s">
        <v>408</v>
      </c>
      <c r="C14" s="40" t="s">
        <v>409</v>
      </c>
      <c r="D14" s="228">
        <f t="shared" ca="1" si="0"/>
        <v>16</v>
      </c>
      <c r="E14" s="36">
        <v>39846</v>
      </c>
      <c r="F14" s="38"/>
      <c r="G14" s="9">
        <v>50</v>
      </c>
      <c r="H14" s="87">
        <v>650</v>
      </c>
      <c r="I14" s="9"/>
      <c r="J14" s="38"/>
      <c r="K14" s="9"/>
      <c r="L14" s="9" t="s">
        <v>410</v>
      </c>
      <c r="M14" s="9" t="s">
        <v>411</v>
      </c>
      <c r="N14" s="32">
        <v>50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65"/>
    </row>
    <row r="15" spans="1:26" ht="30" customHeight="1" x14ac:dyDescent="0.3">
      <c r="A15" s="9">
        <v>1</v>
      </c>
      <c r="B15" s="22" t="s">
        <v>438</v>
      </c>
      <c r="C15" s="22" t="s">
        <v>439</v>
      </c>
      <c r="D15" s="228">
        <f t="shared" ca="1" si="0"/>
        <v>32</v>
      </c>
      <c r="E15" s="36">
        <v>33923</v>
      </c>
      <c r="F15" s="38"/>
      <c r="G15" s="9"/>
      <c r="H15" s="87">
        <v>650</v>
      </c>
      <c r="I15" s="9"/>
      <c r="J15" s="38"/>
      <c r="K15" s="9"/>
      <c r="L15" s="25" t="s">
        <v>440</v>
      </c>
      <c r="M15" s="9" t="s">
        <v>441</v>
      </c>
      <c r="N15" s="32">
        <v>50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65"/>
    </row>
    <row r="16" spans="1:26" ht="30" customHeight="1" x14ac:dyDescent="0.3">
      <c r="A16" s="9">
        <v>1</v>
      </c>
      <c r="B16" s="22" t="s">
        <v>455</v>
      </c>
      <c r="C16" s="22" t="s">
        <v>456</v>
      </c>
      <c r="D16" s="228">
        <f t="shared" ca="1" si="0"/>
        <v>18</v>
      </c>
      <c r="E16" s="36">
        <v>39328</v>
      </c>
      <c r="F16" s="38"/>
      <c r="G16" s="9"/>
      <c r="H16" s="87">
        <v>650</v>
      </c>
      <c r="I16" s="9"/>
      <c r="J16" s="38"/>
      <c r="K16" s="9"/>
      <c r="L16" s="25" t="s">
        <v>457</v>
      </c>
      <c r="M16" s="9" t="s">
        <v>458</v>
      </c>
      <c r="N16" s="32">
        <v>50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65"/>
    </row>
    <row r="17" spans="1:26" ht="30" customHeight="1" x14ac:dyDescent="0.3">
      <c r="A17" s="9">
        <v>1</v>
      </c>
      <c r="B17" s="22" t="s">
        <v>460</v>
      </c>
      <c r="C17" s="22" t="s">
        <v>461</v>
      </c>
      <c r="D17" s="228">
        <f t="shared" ca="1" si="0"/>
        <v>17</v>
      </c>
      <c r="E17" s="36">
        <v>39648</v>
      </c>
      <c r="F17" s="38"/>
      <c r="G17" s="9"/>
      <c r="H17" s="87">
        <v>600</v>
      </c>
      <c r="I17" s="9"/>
      <c r="J17" s="38"/>
      <c r="K17" s="9"/>
      <c r="L17" s="25" t="s">
        <v>462</v>
      </c>
      <c r="M17" s="9" t="s">
        <v>463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65"/>
    </row>
    <row r="18" spans="1:26" ht="30" customHeight="1" x14ac:dyDescent="0.3">
      <c r="A18" s="9">
        <v>1</v>
      </c>
      <c r="B18" s="22" t="s">
        <v>469</v>
      </c>
      <c r="C18" s="22" t="s">
        <v>470</v>
      </c>
      <c r="D18" s="228">
        <f t="shared" ca="1" si="0"/>
        <v>19</v>
      </c>
      <c r="E18" s="36">
        <v>38678</v>
      </c>
      <c r="F18" s="38"/>
      <c r="G18" s="9"/>
      <c r="H18" s="87">
        <v>650</v>
      </c>
      <c r="I18" s="9"/>
      <c r="J18" s="38"/>
      <c r="K18" s="9"/>
      <c r="L18" s="25" t="s">
        <v>471</v>
      </c>
      <c r="M18" s="9" t="s">
        <v>472</v>
      </c>
      <c r="N18" s="32">
        <v>50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65"/>
    </row>
    <row r="19" spans="1:26" s="35" customFormat="1" ht="30" customHeight="1" x14ac:dyDescent="0.2">
      <c r="A19" s="3">
        <f>SUM(A5:A18)</f>
        <v>12</v>
      </c>
      <c r="B19" s="79"/>
      <c r="C19" s="79"/>
      <c r="D19" s="79"/>
      <c r="E19" s="79"/>
      <c r="F19" s="77"/>
      <c r="G19" s="3"/>
      <c r="H19" s="3">
        <f>SUM(H5:H18)</f>
        <v>8600</v>
      </c>
      <c r="I19" s="3">
        <f>SUM(I5:I13)</f>
        <v>600</v>
      </c>
      <c r="J19" s="3"/>
      <c r="K19" s="3"/>
      <c r="L19" s="69"/>
      <c r="M19" s="6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65">
        <f>SUM(Z5:Z13)</f>
        <v>600</v>
      </c>
    </row>
    <row r="20" spans="1:26" ht="22.9" customHeight="1" x14ac:dyDescent="0.3">
      <c r="A20" s="21"/>
      <c r="D20" s="27"/>
      <c r="E20" s="128"/>
      <c r="F20" s="45"/>
      <c r="G20" s="24"/>
      <c r="H20" s="24"/>
      <c r="I20" s="24"/>
      <c r="J20" s="24"/>
      <c r="K20" s="24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1"/>
    </row>
    <row r="21" spans="1:26" ht="22.9" customHeight="1" x14ac:dyDescent="0.3">
      <c r="A21" s="21"/>
      <c r="B21" s="26"/>
      <c r="C21" s="26"/>
      <c r="D21" s="28"/>
      <c r="E21" s="28"/>
      <c r="F21" s="45"/>
      <c r="G21" s="24"/>
      <c r="H21" s="24"/>
      <c r="I21" s="24"/>
      <c r="J21" s="24"/>
      <c r="K21" s="24"/>
      <c r="L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82"/>
    </row>
    <row r="22" spans="1:26" ht="22.9" customHeight="1" x14ac:dyDescent="0.3">
      <c r="A22" s="21"/>
      <c r="B22" s="26"/>
      <c r="C22" s="26"/>
      <c r="D22" s="28"/>
      <c r="E22" s="28"/>
      <c r="F22" s="45"/>
      <c r="G22" s="24"/>
      <c r="H22" s="24"/>
      <c r="I22" s="24"/>
      <c r="J22" s="24"/>
      <c r="K22" s="24"/>
      <c r="L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82"/>
    </row>
    <row r="23" spans="1:26" ht="22.9" customHeight="1" x14ac:dyDescent="0.3">
      <c r="A23" s="21"/>
      <c r="B23" s="26"/>
      <c r="C23" s="26"/>
      <c r="D23" s="28"/>
      <c r="E23" s="28"/>
      <c r="F23" s="45"/>
      <c r="G23" s="24"/>
      <c r="H23" s="24"/>
      <c r="I23" s="24"/>
      <c r="J23" s="24"/>
      <c r="K23" s="24"/>
      <c r="L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82"/>
    </row>
    <row r="24" spans="1:26" ht="22.9" customHeight="1" x14ac:dyDescent="0.3">
      <c r="A24" s="21"/>
      <c r="B24" s="26"/>
      <c r="C24" s="26"/>
      <c r="D24" s="28"/>
      <c r="E24" s="28"/>
      <c r="F24" s="45"/>
      <c r="G24" s="24"/>
      <c r="H24" s="24"/>
      <c r="I24" s="24"/>
      <c r="J24" s="24"/>
      <c r="K24" s="24"/>
      <c r="L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82"/>
    </row>
    <row r="25" spans="1:26" ht="22.9" customHeight="1" x14ac:dyDescent="0.3">
      <c r="A25" s="21"/>
      <c r="B25" s="26"/>
      <c r="C25" s="26"/>
      <c r="D25" s="28"/>
      <c r="E25" s="28"/>
      <c r="F25" s="45"/>
      <c r="G25" s="24"/>
      <c r="H25" s="24"/>
      <c r="I25" s="24"/>
      <c r="J25" s="24"/>
      <c r="K25" s="24"/>
      <c r="L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82"/>
    </row>
    <row r="26" spans="1:26" ht="22.9" customHeight="1" x14ac:dyDescent="0.3">
      <c r="A26" s="21"/>
      <c r="B26" s="26"/>
      <c r="C26" s="26"/>
      <c r="D26" s="27"/>
      <c r="E26" s="27"/>
      <c r="F26" s="45"/>
      <c r="G26" s="24"/>
      <c r="H26" s="24"/>
      <c r="I26" s="24"/>
      <c r="J26" s="24"/>
      <c r="K26" s="24"/>
      <c r="L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82"/>
    </row>
    <row r="27" spans="1:26" ht="22.9" customHeight="1" x14ac:dyDescent="0.3">
      <c r="A27" s="21"/>
      <c r="B27" s="22"/>
      <c r="C27" s="22"/>
      <c r="D27" s="23"/>
      <c r="E27" s="23"/>
      <c r="F27" s="45"/>
      <c r="G27" s="24"/>
      <c r="H27" s="24"/>
      <c r="I27" s="24"/>
      <c r="J27" s="24"/>
      <c r="K27" s="24"/>
      <c r="L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2.9" customHeight="1" x14ac:dyDescent="0.3">
      <c r="A28" s="21"/>
      <c r="B28" s="22"/>
      <c r="C28" s="22"/>
      <c r="D28" s="23"/>
      <c r="E28" s="23"/>
      <c r="F28" s="45"/>
      <c r="G28" s="24"/>
      <c r="H28" s="24"/>
      <c r="I28" s="24"/>
      <c r="J28" s="24"/>
      <c r="K28" s="24"/>
      <c r="L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22.9" customHeight="1" x14ac:dyDescent="0.3">
      <c r="A29" s="21">
        <v>21</v>
      </c>
      <c r="B29" s="22"/>
      <c r="C29" s="22"/>
      <c r="D29" s="23"/>
      <c r="E29" s="23"/>
      <c r="F29" s="45"/>
      <c r="G29" s="24"/>
      <c r="H29" s="24"/>
      <c r="I29" s="24"/>
      <c r="J29" s="24"/>
      <c r="K29" s="24"/>
      <c r="L29" s="25"/>
    </row>
    <row r="30" spans="1:26" ht="22.9" customHeight="1" x14ac:dyDescent="0.3">
      <c r="A30" s="21">
        <v>22</v>
      </c>
      <c r="B30" s="22"/>
      <c r="C30" s="22"/>
      <c r="D30" s="23"/>
      <c r="E30" s="23"/>
      <c r="F30" s="45"/>
      <c r="G30" s="24"/>
      <c r="H30" s="24"/>
      <c r="I30" s="24"/>
      <c r="J30" s="24"/>
      <c r="K30" s="24"/>
      <c r="L30" s="25"/>
    </row>
    <row r="31" spans="1:26" ht="22.9" customHeight="1" x14ac:dyDescent="0.3">
      <c r="A31" s="21">
        <v>23</v>
      </c>
      <c r="B31" s="22"/>
      <c r="C31" s="22"/>
      <c r="D31" s="23"/>
      <c r="E31" s="23"/>
      <c r="F31" s="45"/>
      <c r="G31" s="24"/>
      <c r="H31" s="24"/>
      <c r="I31" s="24"/>
      <c r="J31" s="24"/>
      <c r="K31" s="24"/>
      <c r="L31" s="25"/>
    </row>
    <row r="32" spans="1:26" ht="22.9" customHeight="1" x14ac:dyDescent="0.3">
      <c r="A32" s="21">
        <v>24</v>
      </c>
      <c r="B32" s="22"/>
      <c r="C32" s="22"/>
      <c r="D32" s="23"/>
      <c r="E32" s="23"/>
      <c r="F32" s="45"/>
      <c r="G32" s="24"/>
      <c r="H32" s="24"/>
      <c r="I32" s="24"/>
      <c r="J32" s="24"/>
      <c r="K32" s="24"/>
      <c r="L32" s="25"/>
    </row>
    <row r="33" spans="1:12" ht="22.9" customHeight="1" x14ac:dyDescent="0.3">
      <c r="A33" s="21">
        <v>25</v>
      </c>
      <c r="B33" s="22"/>
      <c r="C33" s="22"/>
      <c r="D33" s="29"/>
      <c r="E33" s="29"/>
      <c r="F33" s="45"/>
      <c r="G33" s="24"/>
      <c r="H33" s="24"/>
      <c r="I33" s="24"/>
      <c r="J33" s="24"/>
      <c r="K33" s="24"/>
      <c r="L33" s="25"/>
    </row>
  </sheetData>
  <mergeCells count="1">
    <mergeCell ref="N3:Y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2770-51FF-4843-9780-B70D6BB451CD}">
  <dimension ref="A2:Z29"/>
  <sheetViews>
    <sheetView zoomScale="160" zoomScaleNormal="160" workbookViewId="0">
      <selection activeCell="B9" sqref="B9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1" customWidth="1"/>
    <col min="4" max="4" width="9.7109375" style="2" customWidth="1"/>
    <col min="5" max="5" width="23.7109375" style="2" customWidth="1"/>
    <col min="6" max="11" width="18.5703125" style="1" customWidth="1"/>
    <col min="12" max="12" width="15.85546875" style="33" customWidth="1"/>
    <col min="13" max="13" width="19.140625" style="33" customWidth="1"/>
    <col min="14" max="16384" width="11.5703125" style="1"/>
  </cols>
  <sheetData>
    <row r="2" spans="1:26" ht="17.25" x14ac:dyDescent="0.3">
      <c r="A2" s="19" t="s">
        <v>0</v>
      </c>
      <c r="B2" s="7"/>
      <c r="C2" s="7"/>
      <c r="D2" s="8"/>
      <c r="E2" s="8"/>
      <c r="F2" s="7"/>
      <c r="G2" s="7"/>
      <c r="H2" s="7"/>
      <c r="I2" s="7"/>
      <c r="J2" s="7"/>
      <c r="K2" s="7"/>
    </row>
    <row r="3" spans="1:26" ht="18.75" x14ac:dyDescent="0.3">
      <c r="A3" s="20" t="s">
        <v>1</v>
      </c>
      <c r="B3" s="7"/>
      <c r="C3" s="7"/>
      <c r="D3" s="8"/>
      <c r="E3" s="8"/>
      <c r="F3" s="7"/>
      <c r="G3" s="7"/>
      <c r="H3" s="7"/>
      <c r="I3" s="7"/>
      <c r="J3" s="7"/>
      <c r="K3" s="7"/>
      <c r="N3" s="224" t="s">
        <v>317</v>
      </c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6"/>
    </row>
    <row r="4" spans="1:26" s="4" customFormat="1" ht="30.6" customHeight="1" x14ac:dyDescent="0.25">
      <c r="A4" s="17" t="s">
        <v>48</v>
      </c>
      <c r="B4" s="17" t="s">
        <v>40</v>
      </c>
      <c r="C4" s="17" t="s">
        <v>41</v>
      </c>
      <c r="D4" s="17" t="s">
        <v>42</v>
      </c>
      <c r="E4" s="17" t="s">
        <v>145</v>
      </c>
      <c r="F4" s="17" t="s">
        <v>43</v>
      </c>
      <c r="G4" s="17" t="s">
        <v>46</v>
      </c>
      <c r="H4" s="17" t="s">
        <v>44</v>
      </c>
      <c r="I4" s="18" t="s">
        <v>45</v>
      </c>
      <c r="J4" s="18" t="s">
        <v>148</v>
      </c>
      <c r="K4" s="17" t="s">
        <v>47</v>
      </c>
      <c r="L4" s="18" t="s">
        <v>141</v>
      </c>
      <c r="M4" s="18" t="s">
        <v>168</v>
      </c>
      <c r="N4" s="67" t="s">
        <v>304</v>
      </c>
      <c r="O4" s="67" t="s">
        <v>305</v>
      </c>
      <c r="P4" s="67" t="s">
        <v>306</v>
      </c>
      <c r="Q4" s="67" t="s">
        <v>307</v>
      </c>
      <c r="R4" s="67" t="s">
        <v>308</v>
      </c>
      <c r="S4" s="67" t="s">
        <v>309</v>
      </c>
      <c r="T4" s="67" t="s">
        <v>310</v>
      </c>
      <c r="U4" s="67" t="s">
        <v>311</v>
      </c>
      <c r="V4" s="67" t="s">
        <v>312</v>
      </c>
      <c r="W4" s="67" t="s">
        <v>313</v>
      </c>
      <c r="X4" s="67" t="s">
        <v>314</v>
      </c>
      <c r="Y4" s="67" t="s">
        <v>315</v>
      </c>
      <c r="Z4" s="3" t="s">
        <v>316</v>
      </c>
    </row>
    <row r="5" spans="1:26" ht="22.9" customHeight="1" x14ac:dyDescent="0.3">
      <c r="A5" s="9">
        <v>1</v>
      </c>
      <c r="B5" s="40" t="s">
        <v>128</v>
      </c>
      <c r="C5" s="40" t="s">
        <v>435</v>
      </c>
      <c r="D5" s="230">
        <f t="shared" ref="D5:D9" ca="1" si="0">TRUNC((TODAY()-E5)/365)</f>
        <v>25</v>
      </c>
      <c r="E5" s="36">
        <v>36641</v>
      </c>
      <c r="F5" s="9"/>
      <c r="G5" s="46">
        <v>1</v>
      </c>
      <c r="H5" s="9">
        <v>600</v>
      </c>
      <c r="I5" s="9"/>
      <c r="J5" s="38"/>
      <c r="K5" s="9"/>
      <c r="L5" s="34" t="s">
        <v>435</v>
      </c>
      <c r="M5" s="34" t="s">
        <v>436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65">
        <f>SUM(N5:Y5)</f>
        <v>0</v>
      </c>
    </row>
    <row r="6" spans="1:26" s="118" customFormat="1" ht="22.9" customHeight="1" x14ac:dyDescent="0.3">
      <c r="A6" s="95">
        <v>1</v>
      </c>
      <c r="B6" s="114" t="s">
        <v>130</v>
      </c>
      <c r="C6" s="114" t="s">
        <v>131</v>
      </c>
      <c r="D6" s="230">
        <f t="shared" ca="1" si="0"/>
        <v>19</v>
      </c>
      <c r="E6" s="120">
        <v>38728</v>
      </c>
      <c r="F6" s="95"/>
      <c r="G6" s="95"/>
      <c r="H6" s="95">
        <v>650</v>
      </c>
      <c r="I6" s="95"/>
      <c r="J6" s="122"/>
      <c r="K6" s="95"/>
      <c r="L6" s="123" t="s">
        <v>433</v>
      </c>
      <c r="M6" s="123" t="s">
        <v>434</v>
      </c>
      <c r="N6" s="124">
        <v>50</v>
      </c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>
        <f>SUM(N6:Y6)</f>
        <v>50</v>
      </c>
    </row>
    <row r="7" spans="1:26" ht="22.9" customHeight="1" x14ac:dyDescent="0.3">
      <c r="A7" s="9">
        <v>1</v>
      </c>
      <c r="B7" s="40" t="s">
        <v>279</v>
      </c>
      <c r="C7" s="40" t="s">
        <v>284</v>
      </c>
      <c r="D7" s="230">
        <f t="shared" ca="1" si="0"/>
        <v>17</v>
      </c>
      <c r="E7" s="36">
        <v>39439</v>
      </c>
      <c r="F7" s="9"/>
      <c r="G7" s="9"/>
      <c r="H7" s="9">
        <v>1700</v>
      </c>
      <c r="I7" s="32"/>
      <c r="J7" s="38"/>
      <c r="K7" s="9">
        <v>45</v>
      </c>
      <c r="L7" s="34" t="s">
        <v>280</v>
      </c>
      <c r="M7" s="34" t="s">
        <v>281</v>
      </c>
      <c r="N7" s="32">
        <v>50</v>
      </c>
      <c r="O7" s="32">
        <v>50</v>
      </c>
      <c r="P7" s="32">
        <v>50</v>
      </c>
      <c r="Q7" s="32">
        <v>50</v>
      </c>
      <c r="R7" s="32">
        <v>50</v>
      </c>
      <c r="S7" s="32">
        <v>50</v>
      </c>
      <c r="T7" s="32">
        <v>50</v>
      </c>
      <c r="U7" s="32">
        <v>50</v>
      </c>
      <c r="V7" s="32">
        <v>50</v>
      </c>
      <c r="W7" s="32">
        <v>50</v>
      </c>
      <c r="X7" s="32"/>
      <c r="Y7" s="32"/>
      <c r="Z7" s="65">
        <f t="shared" ref="Z7:Z9" si="1">SUM(N7:Y7)</f>
        <v>500</v>
      </c>
    </row>
    <row r="8" spans="1:26" ht="22.9" customHeight="1" x14ac:dyDescent="0.3">
      <c r="A8" s="53">
        <v>1</v>
      </c>
      <c r="B8" s="97" t="s">
        <v>132</v>
      </c>
      <c r="C8" s="97" t="s">
        <v>133</v>
      </c>
      <c r="D8" s="229">
        <f t="shared" ca="1" si="0"/>
        <v>18</v>
      </c>
      <c r="E8" s="91">
        <v>38998</v>
      </c>
      <c r="F8" s="53"/>
      <c r="G8" s="53"/>
      <c r="H8" s="53">
        <v>600</v>
      </c>
      <c r="I8" s="9"/>
      <c r="J8" s="38"/>
      <c r="K8" s="9"/>
      <c r="L8" s="34" t="s">
        <v>392</v>
      </c>
      <c r="M8" s="34" t="s">
        <v>393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65">
        <f t="shared" si="1"/>
        <v>0</v>
      </c>
    </row>
    <row r="9" spans="1:26" ht="22.9" customHeight="1" x14ac:dyDescent="0.3">
      <c r="A9" s="9">
        <v>1</v>
      </c>
      <c r="B9" s="40" t="s">
        <v>134</v>
      </c>
      <c r="C9" s="40" t="s">
        <v>320</v>
      </c>
      <c r="D9" s="230">
        <f t="shared" ca="1" si="0"/>
        <v>17</v>
      </c>
      <c r="E9" s="36">
        <v>39413</v>
      </c>
      <c r="F9" s="9"/>
      <c r="G9" s="9">
        <v>50</v>
      </c>
      <c r="H9" s="9">
        <v>600</v>
      </c>
      <c r="I9" s="9"/>
      <c r="J9" s="38"/>
      <c r="K9" s="9">
        <v>40</v>
      </c>
      <c r="L9" s="34" t="s">
        <v>324</v>
      </c>
      <c r="M9" s="34">
        <v>44589744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>
        <f t="shared" si="1"/>
        <v>0</v>
      </c>
    </row>
    <row r="10" spans="1:26" s="35" customFormat="1" ht="22.9" customHeight="1" x14ac:dyDescent="0.2">
      <c r="A10" s="3">
        <f>SUM(A5:A9)</f>
        <v>5</v>
      </c>
      <c r="B10" s="41"/>
      <c r="C10" s="41"/>
      <c r="D10" s="76"/>
      <c r="E10" s="76"/>
      <c r="F10" s="3"/>
      <c r="G10" s="3"/>
      <c r="H10" s="3">
        <f>SUM(H5:H9)</f>
        <v>4150</v>
      </c>
      <c r="I10" s="3">
        <f>SUM(I5:I9)</f>
        <v>0</v>
      </c>
      <c r="J10" s="3"/>
      <c r="K10" s="3"/>
      <c r="L10" s="78"/>
      <c r="M10" s="78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65">
        <f>SUM(Z5:Z9)</f>
        <v>550</v>
      </c>
    </row>
    <row r="11" spans="1:26" ht="22.9" customHeight="1" x14ac:dyDescent="0.3">
      <c r="A11" s="21"/>
      <c r="B11" s="22"/>
      <c r="C11" s="22"/>
      <c r="D11" s="23"/>
      <c r="E11" s="23"/>
      <c r="F11" s="24"/>
      <c r="G11" s="24"/>
      <c r="H11" s="24"/>
      <c r="I11" s="24"/>
      <c r="J11" s="24"/>
      <c r="K11" s="24"/>
      <c r="L11" s="58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1"/>
    </row>
    <row r="12" spans="1:26" ht="22.9" customHeight="1" x14ac:dyDescent="0.3">
      <c r="A12" s="21"/>
      <c r="B12" s="110"/>
      <c r="C12" s="22"/>
      <c r="D12" s="23"/>
      <c r="E12" s="23"/>
      <c r="F12" s="24"/>
      <c r="G12" s="24"/>
      <c r="H12" s="24"/>
      <c r="I12" s="24"/>
      <c r="J12" s="24"/>
      <c r="K12" s="24"/>
      <c r="L12" s="58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82"/>
    </row>
    <row r="13" spans="1:26" ht="22.9" customHeight="1" x14ac:dyDescent="0.3">
      <c r="A13" s="21"/>
      <c r="B13" s="26"/>
      <c r="C13" s="26"/>
      <c r="D13" s="27"/>
      <c r="E13" s="27"/>
      <c r="F13" s="24"/>
      <c r="G13" s="24"/>
      <c r="H13" s="24"/>
      <c r="I13" s="24"/>
      <c r="J13" s="24"/>
      <c r="K13" s="24"/>
      <c r="L13" s="58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82"/>
    </row>
    <row r="14" spans="1:26" ht="22.9" customHeight="1" x14ac:dyDescent="0.3">
      <c r="A14" s="21"/>
      <c r="B14" s="26"/>
      <c r="C14" s="26"/>
      <c r="D14" s="27"/>
      <c r="E14" s="27"/>
      <c r="F14" s="24"/>
      <c r="G14" s="24"/>
      <c r="H14" s="24"/>
      <c r="I14" s="24"/>
      <c r="J14" s="24"/>
      <c r="K14" s="24"/>
      <c r="L14" s="58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82"/>
    </row>
    <row r="15" spans="1:26" ht="22.9" customHeight="1" x14ac:dyDescent="0.3">
      <c r="A15" s="21"/>
      <c r="B15" s="26"/>
      <c r="C15" s="26"/>
      <c r="D15" s="27"/>
      <c r="E15" s="27"/>
      <c r="F15" s="24"/>
      <c r="G15" s="24"/>
      <c r="H15" s="24"/>
      <c r="I15" s="24"/>
      <c r="J15" s="24"/>
      <c r="K15" s="24"/>
      <c r="L15" s="58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82"/>
    </row>
    <row r="16" spans="1:26" ht="22.9" customHeight="1" x14ac:dyDescent="0.3">
      <c r="A16" s="21"/>
      <c r="B16" s="26"/>
      <c r="C16" s="26"/>
      <c r="D16" s="27"/>
      <c r="E16" s="27"/>
      <c r="F16" s="24"/>
      <c r="G16" s="24"/>
      <c r="H16" s="24"/>
      <c r="I16" s="24"/>
      <c r="J16" s="24"/>
      <c r="K16" s="24"/>
      <c r="L16" s="58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82"/>
    </row>
    <row r="17" spans="1:26" ht="22.9" customHeight="1" x14ac:dyDescent="0.3">
      <c r="A17" s="21"/>
      <c r="B17" s="26"/>
      <c r="C17" s="26"/>
      <c r="D17" s="28"/>
      <c r="E17" s="28"/>
      <c r="F17" s="24"/>
      <c r="G17" s="24"/>
      <c r="H17" s="24"/>
      <c r="I17" s="24"/>
      <c r="J17" s="24"/>
      <c r="K17" s="24"/>
      <c r="L17" s="58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82"/>
    </row>
    <row r="18" spans="1:26" ht="22.9" customHeight="1" x14ac:dyDescent="0.3">
      <c r="A18" s="21"/>
      <c r="B18" s="26"/>
      <c r="C18" s="26"/>
      <c r="D18" s="28"/>
      <c r="E18" s="28"/>
      <c r="F18" s="24"/>
      <c r="G18" s="24"/>
      <c r="H18" s="24"/>
      <c r="I18" s="24"/>
      <c r="J18" s="24"/>
      <c r="K18" s="24"/>
      <c r="L18" s="58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82"/>
    </row>
    <row r="19" spans="1:26" ht="22.9" customHeight="1" x14ac:dyDescent="0.3">
      <c r="A19" s="21"/>
      <c r="B19" s="26"/>
      <c r="C19" s="26"/>
      <c r="D19" s="28"/>
      <c r="E19" s="28"/>
      <c r="F19" s="24"/>
      <c r="G19" s="24"/>
      <c r="H19" s="24"/>
      <c r="I19" s="24"/>
      <c r="J19" s="24"/>
      <c r="K19" s="24"/>
      <c r="L19" s="58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2.9" customHeight="1" x14ac:dyDescent="0.3">
      <c r="A20" s="21"/>
      <c r="B20" s="26"/>
      <c r="C20" s="26"/>
      <c r="D20" s="28"/>
      <c r="E20" s="28"/>
      <c r="F20" s="24"/>
      <c r="G20" s="24"/>
      <c r="H20" s="24"/>
      <c r="I20" s="24"/>
      <c r="J20" s="24"/>
      <c r="K20" s="24"/>
      <c r="L20" s="58"/>
    </row>
    <row r="21" spans="1:26" ht="22.9" customHeight="1" x14ac:dyDescent="0.3">
      <c r="A21" s="21"/>
      <c r="B21" s="26"/>
      <c r="C21" s="26"/>
      <c r="D21" s="28"/>
      <c r="E21" s="28"/>
      <c r="F21" s="24"/>
      <c r="G21" s="24"/>
      <c r="H21" s="24"/>
      <c r="I21" s="24"/>
      <c r="J21" s="24"/>
      <c r="K21" s="24"/>
      <c r="L21" s="58"/>
    </row>
    <row r="22" spans="1:26" ht="22.9" customHeight="1" x14ac:dyDescent="0.3">
      <c r="A22" s="21"/>
      <c r="B22" s="26"/>
      <c r="C22" s="26"/>
      <c r="D22" s="27"/>
      <c r="E22" s="27"/>
      <c r="F22" s="24"/>
      <c r="G22" s="24"/>
      <c r="H22" s="24"/>
      <c r="I22" s="24"/>
      <c r="J22" s="24"/>
      <c r="K22" s="24"/>
      <c r="L22" s="58"/>
    </row>
    <row r="23" spans="1:26" ht="22.9" customHeight="1" x14ac:dyDescent="0.3">
      <c r="A23" s="21"/>
      <c r="B23" s="22"/>
      <c r="C23" s="22"/>
      <c r="D23" s="23"/>
      <c r="E23" s="23"/>
      <c r="F23" s="24"/>
      <c r="G23" s="24"/>
      <c r="H23" s="24"/>
      <c r="I23" s="24"/>
      <c r="J23" s="24"/>
      <c r="K23" s="24"/>
      <c r="L23" s="58"/>
    </row>
    <row r="24" spans="1:26" ht="22.9" customHeight="1" x14ac:dyDescent="0.3">
      <c r="A24" s="21"/>
      <c r="B24" s="22"/>
      <c r="C24" s="22"/>
      <c r="D24" s="23"/>
      <c r="E24" s="23"/>
      <c r="F24" s="24"/>
      <c r="G24" s="24"/>
      <c r="H24" s="24"/>
      <c r="I24" s="24"/>
      <c r="J24" s="24"/>
      <c r="K24" s="24"/>
      <c r="L24" s="58"/>
    </row>
    <row r="25" spans="1:26" ht="22.9" customHeight="1" x14ac:dyDescent="0.3">
      <c r="A25" s="21">
        <v>21</v>
      </c>
      <c r="B25" s="22"/>
      <c r="C25" s="22"/>
      <c r="D25" s="23"/>
      <c r="E25" s="23"/>
      <c r="F25" s="24"/>
      <c r="G25" s="24"/>
      <c r="H25" s="24"/>
      <c r="I25" s="24"/>
      <c r="J25" s="24"/>
      <c r="K25" s="24"/>
      <c r="L25" s="58"/>
    </row>
    <row r="26" spans="1:26" ht="22.9" customHeight="1" x14ac:dyDescent="0.3">
      <c r="A26" s="21">
        <v>22</v>
      </c>
      <c r="B26" s="22"/>
      <c r="C26" s="22"/>
      <c r="D26" s="23"/>
      <c r="E26" s="23"/>
      <c r="F26" s="24"/>
      <c r="G26" s="24"/>
      <c r="H26" s="24"/>
      <c r="I26" s="24"/>
      <c r="J26" s="24"/>
      <c r="K26" s="24"/>
      <c r="L26" s="58"/>
    </row>
    <row r="27" spans="1:26" ht="22.9" customHeight="1" x14ac:dyDescent="0.3">
      <c r="A27" s="21">
        <v>23</v>
      </c>
      <c r="B27" s="22"/>
      <c r="C27" s="22"/>
      <c r="D27" s="23"/>
      <c r="E27" s="23"/>
      <c r="F27" s="24"/>
      <c r="G27" s="24"/>
      <c r="H27" s="24"/>
      <c r="I27" s="24"/>
      <c r="J27" s="24"/>
      <c r="K27" s="24"/>
      <c r="L27" s="58"/>
    </row>
    <row r="28" spans="1:26" ht="22.9" customHeight="1" x14ac:dyDescent="0.3">
      <c r="A28" s="21">
        <v>24</v>
      </c>
      <c r="B28" s="22"/>
      <c r="C28" s="22"/>
      <c r="D28" s="23"/>
      <c r="E28" s="23"/>
      <c r="F28" s="24"/>
      <c r="G28" s="24"/>
      <c r="H28" s="24"/>
      <c r="I28" s="24"/>
      <c r="J28" s="24"/>
      <c r="K28" s="24"/>
      <c r="L28" s="58"/>
    </row>
    <row r="29" spans="1:26" ht="22.9" customHeight="1" x14ac:dyDescent="0.3">
      <c r="A29" s="21">
        <v>25</v>
      </c>
      <c r="B29" s="22"/>
      <c r="C29" s="22"/>
      <c r="D29" s="29"/>
      <c r="E29" s="29"/>
      <c r="F29" s="24"/>
      <c r="G29" s="24"/>
      <c r="H29" s="24"/>
      <c r="I29" s="24"/>
      <c r="J29" s="24"/>
      <c r="K29" s="24"/>
      <c r="L29" s="58"/>
    </row>
  </sheetData>
  <mergeCells count="1">
    <mergeCell ref="N3:Y3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4894-887C-405A-BEF0-9E55956B560E}">
  <sheetPr>
    <tabColor rgb="FFFFC000"/>
  </sheetPr>
  <dimension ref="A2:E29"/>
  <sheetViews>
    <sheetView workbookViewId="0">
      <selection activeCell="I11" sqref="I11"/>
    </sheetView>
  </sheetViews>
  <sheetFormatPr baseColWidth="10" defaultColWidth="11.5703125" defaultRowHeight="16.5" x14ac:dyDescent="0.3"/>
  <cols>
    <col min="1" max="1" width="19.7109375" style="2" customWidth="1"/>
    <col min="2" max="5" width="16.5703125" style="1" customWidth="1"/>
    <col min="6" max="16384" width="11.5703125" style="1"/>
  </cols>
  <sheetData>
    <row r="2" spans="1:5" ht="17.25" x14ac:dyDescent="0.3">
      <c r="A2" s="19" t="s">
        <v>246</v>
      </c>
      <c r="B2" s="7"/>
      <c r="C2" s="7"/>
      <c r="D2" s="7"/>
      <c r="E2" s="7"/>
    </row>
    <row r="3" spans="1:5" ht="17.25" x14ac:dyDescent="0.3">
      <c r="A3" s="19" t="s">
        <v>1</v>
      </c>
      <c r="B3" s="7"/>
      <c r="C3" s="7"/>
      <c r="D3" s="7"/>
      <c r="E3" s="7"/>
    </row>
    <row r="4" spans="1:5" s="4" customFormat="1" ht="30.6" customHeight="1" x14ac:dyDescent="0.25">
      <c r="A4" s="17" t="s">
        <v>154</v>
      </c>
      <c r="B4" s="17" t="s">
        <v>153</v>
      </c>
      <c r="C4" s="17" t="s">
        <v>46</v>
      </c>
      <c r="D4" s="17" t="s">
        <v>44</v>
      </c>
      <c r="E4" s="18" t="s">
        <v>45</v>
      </c>
    </row>
    <row r="5" spans="1:5" ht="22.9" customHeight="1" x14ac:dyDescent="0.3">
      <c r="A5" s="37" t="s">
        <v>155</v>
      </c>
      <c r="B5" s="12">
        <f>'1ERO. BÁSICO'!A32</f>
        <v>27</v>
      </c>
      <c r="C5" s="9"/>
      <c r="D5" s="9">
        <f>'1ERO. BÁSICO'!H32</f>
        <v>15950</v>
      </c>
      <c r="E5" s="9">
        <f>'1ERO. BÁSICO'!I32</f>
        <v>900</v>
      </c>
    </row>
    <row r="6" spans="1:5" ht="22.9" customHeight="1" x14ac:dyDescent="0.3">
      <c r="A6" s="37" t="s">
        <v>156</v>
      </c>
      <c r="B6" s="12">
        <f>'2DO. BÁSICO'!A32</f>
        <v>27</v>
      </c>
      <c r="C6" s="9"/>
      <c r="D6" s="9">
        <f>'2DO. BÁSICO'!H32</f>
        <v>16600</v>
      </c>
      <c r="E6" s="9">
        <f>'2DO. BÁSICO'!I32</f>
        <v>400</v>
      </c>
    </row>
    <row r="7" spans="1:5" ht="22.9" customHeight="1" x14ac:dyDescent="0.3">
      <c r="A7" s="37" t="s">
        <v>157</v>
      </c>
      <c r="B7" s="12">
        <f>'3ERO. BÁSICO'!A26</f>
        <v>18</v>
      </c>
      <c r="C7" s="9"/>
      <c r="D7" s="9">
        <f>'3ERO. BÁSICO'!H26</f>
        <v>10950</v>
      </c>
      <c r="E7" s="9">
        <f>'3ERO. BÁSICO'!I26</f>
        <v>2650</v>
      </c>
    </row>
    <row r="8" spans="1:5" ht="22.9" customHeight="1" x14ac:dyDescent="0.3">
      <c r="A8" s="37" t="s">
        <v>158</v>
      </c>
      <c r="B8" s="10">
        <f>'4TO. BACHILLERATO'!A19</f>
        <v>12</v>
      </c>
      <c r="C8" s="9"/>
      <c r="D8" s="9">
        <f>'4TO. BACHILLERATO'!H19</f>
        <v>8600</v>
      </c>
      <c r="E8" s="9">
        <f>'4TO. BACHILLERATO'!I19</f>
        <v>600</v>
      </c>
    </row>
    <row r="9" spans="1:5" ht="22.9" customHeight="1" x14ac:dyDescent="0.3">
      <c r="A9" s="37" t="s">
        <v>159</v>
      </c>
      <c r="B9" s="12">
        <f>'5TO. BACHILLERATO'!A10</f>
        <v>5</v>
      </c>
      <c r="C9" s="9"/>
      <c r="D9" s="9">
        <f>'5TO. BACHILLERATO'!H10</f>
        <v>4150</v>
      </c>
      <c r="E9" s="9">
        <f>'5TO. BACHILLERATO'!I10</f>
        <v>0</v>
      </c>
    </row>
    <row r="10" spans="1:5" s="35" customFormat="1" ht="22.9" customHeight="1" x14ac:dyDescent="0.2">
      <c r="A10" s="3" t="s">
        <v>169</v>
      </c>
      <c r="B10" s="41">
        <f>SUM(B5:B9)</f>
        <v>89</v>
      </c>
      <c r="C10" s="3"/>
      <c r="D10" s="3">
        <f>SUM(D5:D9)</f>
        <v>56250</v>
      </c>
      <c r="E10" s="3">
        <f>SUM(E5:E9)</f>
        <v>4550</v>
      </c>
    </row>
    <row r="11" spans="1:5" ht="22.9" customHeight="1" x14ac:dyDescent="0.3">
      <c r="A11" s="21"/>
      <c r="B11" s="22"/>
      <c r="C11" s="24"/>
      <c r="D11" s="24"/>
      <c r="E11" s="24"/>
    </row>
    <row r="12" spans="1:5" ht="22.9" customHeight="1" x14ac:dyDescent="0.3">
      <c r="A12" s="21"/>
      <c r="B12" s="22"/>
      <c r="C12" s="24"/>
      <c r="D12" s="24"/>
      <c r="E12" s="24"/>
    </row>
    <row r="13" spans="1:5" ht="22.9" customHeight="1" x14ac:dyDescent="0.3">
      <c r="A13" s="21"/>
      <c r="B13" s="26"/>
      <c r="C13" s="24"/>
      <c r="D13" s="24"/>
      <c r="E13" s="24"/>
    </row>
    <row r="14" spans="1:5" ht="22.9" customHeight="1" x14ac:dyDescent="0.3">
      <c r="A14" s="21"/>
      <c r="B14" s="26"/>
      <c r="C14" s="24"/>
      <c r="D14" s="24"/>
      <c r="E14" s="24"/>
    </row>
    <row r="15" spans="1:5" ht="22.9" customHeight="1" x14ac:dyDescent="0.3">
      <c r="A15" s="21"/>
      <c r="B15" s="26"/>
      <c r="C15" s="24"/>
      <c r="D15" s="24"/>
      <c r="E15" s="24"/>
    </row>
    <row r="16" spans="1:5" ht="22.9" customHeight="1" x14ac:dyDescent="0.3">
      <c r="A16" s="21"/>
      <c r="B16" s="26"/>
      <c r="C16" s="24"/>
      <c r="D16" s="24"/>
      <c r="E16" s="24"/>
    </row>
    <row r="17" spans="1:5" ht="22.9" customHeight="1" x14ac:dyDescent="0.3">
      <c r="A17" s="21"/>
      <c r="B17" s="26"/>
      <c r="C17" s="24"/>
      <c r="D17" s="24"/>
      <c r="E17" s="24"/>
    </row>
    <row r="18" spans="1:5" ht="22.9" customHeight="1" x14ac:dyDescent="0.3">
      <c r="A18" s="21"/>
      <c r="B18" s="26"/>
      <c r="C18" s="24"/>
      <c r="D18" s="24"/>
      <c r="E18" s="24"/>
    </row>
    <row r="19" spans="1:5" ht="22.9" customHeight="1" x14ac:dyDescent="0.3">
      <c r="A19" s="21"/>
      <c r="B19" s="26"/>
      <c r="C19" s="24"/>
      <c r="D19" s="24"/>
      <c r="E19" s="24"/>
    </row>
    <row r="20" spans="1:5" ht="22.9" customHeight="1" x14ac:dyDescent="0.3">
      <c r="A20" s="21"/>
      <c r="B20" s="26"/>
      <c r="C20" s="24"/>
      <c r="D20" s="24"/>
      <c r="E20" s="24"/>
    </row>
    <row r="21" spans="1:5" ht="22.9" customHeight="1" x14ac:dyDescent="0.3">
      <c r="A21" s="21"/>
      <c r="B21" s="26"/>
      <c r="C21" s="24"/>
      <c r="D21" s="24"/>
      <c r="E21" s="24"/>
    </row>
    <row r="22" spans="1:5" ht="22.9" customHeight="1" x14ac:dyDescent="0.3">
      <c r="A22" s="21"/>
      <c r="B22" s="26"/>
      <c r="C22" s="24"/>
      <c r="D22" s="24"/>
      <c r="E22" s="24"/>
    </row>
    <row r="23" spans="1:5" ht="22.9" customHeight="1" x14ac:dyDescent="0.3">
      <c r="A23" s="21"/>
      <c r="B23" s="22"/>
      <c r="C23" s="24"/>
      <c r="D23" s="24"/>
      <c r="E23" s="24"/>
    </row>
    <row r="24" spans="1:5" ht="22.9" customHeight="1" x14ac:dyDescent="0.3">
      <c r="A24" s="21"/>
      <c r="B24" s="22"/>
      <c r="C24" s="24"/>
      <c r="D24" s="24"/>
      <c r="E24" s="24"/>
    </row>
    <row r="25" spans="1:5" ht="22.9" customHeight="1" x14ac:dyDescent="0.3">
      <c r="A25" s="21"/>
      <c r="B25" s="22"/>
      <c r="C25" s="24"/>
      <c r="D25" s="24"/>
      <c r="E25" s="24"/>
    </row>
    <row r="26" spans="1:5" ht="22.9" customHeight="1" x14ac:dyDescent="0.3">
      <c r="A26" s="21"/>
      <c r="B26" s="22"/>
      <c r="C26" s="24"/>
      <c r="D26" s="24"/>
      <c r="E26" s="24"/>
    </row>
    <row r="27" spans="1:5" ht="22.9" customHeight="1" x14ac:dyDescent="0.3">
      <c r="A27" s="21"/>
      <c r="B27" s="22"/>
      <c r="C27" s="24"/>
      <c r="D27" s="24"/>
      <c r="E27" s="24"/>
    </row>
    <row r="28" spans="1:5" ht="22.9" customHeight="1" x14ac:dyDescent="0.3">
      <c r="A28" s="21"/>
      <c r="B28" s="22"/>
      <c r="C28" s="24"/>
      <c r="D28" s="24"/>
      <c r="E28" s="24"/>
    </row>
    <row r="29" spans="1:5" ht="22.9" customHeight="1" x14ac:dyDescent="0.3">
      <c r="A29" s="21"/>
      <c r="B29" s="22"/>
      <c r="C29" s="24"/>
      <c r="D29" s="24"/>
      <c r="E29" s="24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0B3C-BC00-4FD0-9607-44E1FA61CC75}">
  <dimension ref="A2:P344"/>
  <sheetViews>
    <sheetView view="pageBreakPreview" topLeftCell="A165" zoomScale="95" zoomScaleNormal="100" workbookViewId="0">
      <selection activeCell="G177" sqref="G177"/>
    </sheetView>
  </sheetViews>
  <sheetFormatPr baseColWidth="10" defaultColWidth="11.5703125" defaultRowHeight="16.5" x14ac:dyDescent="0.3"/>
  <cols>
    <col min="1" max="1" width="5.5703125" style="1" customWidth="1"/>
    <col min="2" max="2" width="21.42578125" style="85" customWidth="1"/>
    <col min="3" max="3" width="17.5703125" style="85" customWidth="1"/>
    <col min="4" max="4" width="10.28515625" style="85" customWidth="1"/>
    <col min="5" max="14" width="10.28515625" style="1" customWidth="1"/>
    <col min="15" max="16384" width="11.5703125" style="1"/>
  </cols>
  <sheetData>
    <row r="2" spans="1:16" x14ac:dyDescent="0.3">
      <c r="B2" s="15" t="s">
        <v>345</v>
      </c>
    </row>
    <row r="3" spans="1:16" x14ac:dyDescent="0.3">
      <c r="A3" s="35" t="s">
        <v>236</v>
      </c>
    </row>
    <row r="4" spans="1:16" ht="45" x14ac:dyDescent="0.3">
      <c r="A4" s="17" t="s">
        <v>48</v>
      </c>
      <c r="B4" s="17" t="s">
        <v>40</v>
      </c>
      <c r="C4" s="17" t="s">
        <v>41</v>
      </c>
      <c r="D4" s="17" t="s">
        <v>480</v>
      </c>
      <c r="E4" s="18" t="s">
        <v>346</v>
      </c>
      <c r="F4" s="18" t="s">
        <v>348</v>
      </c>
      <c r="G4" s="18" t="s">
        <v>390</v>
      </c>
      <c r="H4" s="18" t="s">
        <v>394</v>
      </c>
      <c r="I4" s="18" t="s">
        <v>424</v>
      </c>
      <c r="J4" s="18" t="s">
        <v>431</v>
      </c>
      <c r="K4" s="18" t="s">
        <v>486</v>
      </c>
      <c r="L4" s="18" t="s">
        <v>493</v>
      </c>
      <c r="M4" s="18" t="s">
        <v>495</v>
      </c>
      <c r="N4" s="78" t="s">
        <v>169</v>
      </c>
      <c r="O4" s="215" t="s">
        <v>488</v>
      </c>
      <c r="P4" s="216" t="s">
        <v>487</v>
      </c>
    </row>
    <row r="5" spans="1:16" s="118" customFormat="1" ht="15.6" customHeight="1" x14ac:dyDescent="0.3">
      <c r="A5" s="124">
        <v>1</v>
      </c>
      <c r="B5" s="194" t="s">
        <v>2</v>
      </c>
      <c r="C5" s="194" t="s">
        <v>3</v>
      </c>
      <c r="D5" s="194">
        <v>525</v>
      </c>
      <c r="E5" s="124"/>
      <c r="F5" s="195"/>
      <c r="G5" s="195"/>
      <c r="H5" s="195">
        <v>300</v>
      </c>
      <c r="I5" s="195"/>
      <c r="J5" s="195">
        <v>300</v>
      </c>
      <c r="K5" s="195"/>
      <c r="L5" s="195"/>
      <c r="M5" s="195"/>
      <c r="N5" s="195">
        <f>SUM(E5:J5)</f>
        <v>600</v>
      </c>
      <c r="O5" s="203">
        <f>N5-D5</f>
        <v>75</v>
      </c>
      <c r="P5" s="138"/>
    </row>
    <row r="6" spans="1:16" s="118" customFormat="1" ht="15.6" customHeight="1" x14ac:dyDescent="0.3">
      <c r="A6" s="124">
        <v>1</v>
      </c>
      <c r="B6" s="194" t="s">
        <v>206</v>
      </c>
      <c r="C6" s="194" t="s">
        <v>4</v>
      </c>
      <c r="D6" s="194">
        <v>525</v>
      </c>
      <c r="E6" s="124"/>
      <c r="F6" s="195"/>
      <c r="G6" s="195"/>
      <c r="H6" s="195"/>
      <c r="I6" s="195"/>
      <c r="J6" s="195">
        <v>600</v>
      </c>
      <c r="K6" s="195"/>
      <c r="L6" s="195"/>
      <c r="M6" s="195"/>
      <c r="N6" s="195">
        <f t="shared" ref="N6:N30" si="0">SUM(E6:J6)</f>
        <v>600</v>
      </c>
      <c r="O6" s="203">
        <f t="shared" ref="O6:O31" si="1">N6-D6</f>
        <v>75</v>
      </c>
      <c r="P6" s="138"/>
    </row>
    <row r="7" spans="1:16" s="118" customFormat="1" ht="15.6" customHeight="1" x14ac:dyDescent="0.3">
      <c r="A7" s="124">
        <v>1</v>
      </c>
      <c r="B7" s="194" t="s">
        <v>5</v>
      </c>
      <c r="C7" s="194" t="s">
        <v>6</v>
      </c>
      <c r="D7" s="194">
        <v>525</v>
      </c>
      <c r="E7" s="124"/>
      <c r="F7" s="195">
        <v>600</v>
      </c>
      <c r="G7" s="195"/>
      <c r="H7" s="195"/>
      <c r="I7" s="195">
        <v>200</v>
      </c>
      <c r="J7" s="195"/>
      <c r="K7" s="195"/>
      <c r="L7" s="195"/>
      <c r="M7" s="195"/>
      <c r="N7" s="195">
        <f t="shared" si="0"/>
        <v>800</v>
      </c>
      <c r="O7" s="203">
        <f t="shared" si="1"/>
        <v>275</v>
      </c>
      <c r="P7" s="138">
        <v>200</v>
      </c>
    </row>
    <row r="8" spans="1:16" s="118" customFormat="1" ht="15.6" customHeight="1" x14ac:dyDescent="0.3">
      <c r="A8" s="124">
        <v>1</v>
      </c>
      <c r="B8" s="194" t="s">
        <v>7</v>
      </c>
      <c r="C8" s="194" t="s">
        <v>8</v>
      </c>
      <c r="D8" s="194">
        <v>525</v>
      </c>
      <c r="E8" s="124">
        <v>600</v>
      </c>
      <c r="F8" s="195"/>
      <c r="G8" s="195"/>
      <c r="H8" s="195"/>
      <c r="I8" s="195"/>
      <c r="J8" s="195"/>
      <c r="K8" s="195"/>
      <c r="L8" s="195"/>
      <c r="M8" s="195"/>
      <c r="N8" s="195">
        <f t="shared" si="0"/>
        <v>600</v>
      </c>
      <c r="O8" s="203">
        <f t="shared" si="1"/>
        <v>75</v>
      </c>
      <c r="P8" s="138"/>
    </row>
    <row r="9" spans="1:16" s="118" customFormat="1" ht="15.6" customHeight="1" x14ac:dyDescent="0.3">
      <c r="A9" s="119">
        <v>1</v>
      </c>
      <c r="B9" s="136" t="s">
        <v>9</v>
      </c>
      <c r="C9" s="136" t="s">
        <v>10</v>
      </c>
      <c r="D9" s="136">
        <v>525</v>
      </c>
      <c r="E9" s="119">
        <v>200</v>
      </c>
      <c r="F9" s="92"/>
      <c r="G9" s="92">
        <v>100</v>
      </c>
      <c r="H9" s="92"/>
      <c r="I9" s="92"/>
      <c r="J9" s="92"/>
      <c r="K9" s="92"/>
      <c r="L9" s="92"/>
      <c r="M9" s="92"/>
      <c r="N9" s="92">
        <f t="shared" si="0"/>
        <v>300</v>
      </c>
      <c r="O9" s="138">
        <f t="shared" si="1"/>
        <v>-225</v>
      </c>
      <c r="P9" s="138"/>
    </row>
    <row r="10" spans="1:16" s="118" customFormat="1" ht="15.6" customHeight="1" x14ac:dyDescent="0.3">
      <c r="A10" s="119">
        <v>1</v>
      </c>
      <c r="B10" s="136" t="s">
        <v>11</v>
      </c>
      <c r="C10" s="136" t="s">
        <v>12</v>
      </c>
      <c r="D10" s="136">
        <v>525</v>
      </c>
      <c r="E10" s="124">
        <v>300</v>
      </c>
      <c r="F10" s="195"/>
      <c r="G10" s="195"/>
      <c r="H10" s="195">
        <v>200</v>
      </c>
      <c r="I10" s="195"/>
      <c r="J10" s="195"/>
      <c r="K10" s="195"/>
      <c r="L10" s="195">
        <v>100</v>
      </c>
      <c r="M10" s="195"/>
      <c r="N10" s="195">
        <f>SUM(E10:L10)</f>
        <v>600</v>
      </c>
      <c r="O10" s="138">
        <f t="shared" si="1"/>
        <v>75</v>
      </c>
      <c r="P10" s="138"/>
    </row>
    <row r="11" spans="1:16" s="118" customFormat="1" ht="15.6" customHeight="1" x14ac:dyDescent="0.3">
      <c r="A11" s="124">
        <v>1</v>
      </c>
      <c r="B11" s="194" t="s">
        <v>13</v>
      </c>
      <c r="C11" s="194" t="s">
        <v>14</v>
      </c>
      <c r="D11" s="194">
        <v>525</v>
      </c>
      <c r="E11" s="124">
        <v>65</v>
      </c>
      <c r="F11" s="195"/>
      <c r="G11" s="195">
        <v>300</v>
      </c>
      <c r="H11" s="195"/>
      <c r="I11" s="195"/>
      <c r="J11" s="195">
        <v>335</v>
      </c>
      <c r="K11" s="195"/>
      <c r="L11" s="195"/>
      <c r="M11" s="195"/>
      <c r="N11" s="195">
        <f t="shared" si="0"/>
        <v>700</v>
      </c>
      <c r="O11" s="203">
        <f t="shared" si="1"/>
        <v>175</v>
      </c>
      <c r="P11" s="138">
        <v>100</v>
      </c>
    </row>
    <row r="12" spans="1:16" s="118" customFormat="1" ht="15.6" customHeight="1" x14ac:dyDescent="0.3">
      <c r="A12" s="124">
        <v>1</v>
      </c>
      <c r="B12" s="194" t="s">
        <v>368</v>
      </c>
      <c r="C12" s="194" t="s">
        <v>195</v>
      </c>
      <c r="D12" s="194">
        <v>525</v>
      </c>
      <c r="E12" s="124"/>
      <c r="F12" s="195"/>
      <c r="G12" s="195">
        <v>600</v>
      </c>
      <c r="H12" s="195"/>
      <c r="I12" s="195"/>
      <c r="J12" s="195"/>
      <c r="K12" s="195"/>
      <c r="L12" s="195"/>
      <c r="M12" s="195"/>
      <c r="N12" s="195">
        <f t="shared" si="0"/>
        <v>600</v>
      </c>
      <c r="O12" s="203">
        <f t="shared" si="1"/>
        <v>75</v>
      </c>
      <c r="P12" s="138"/>
    </row>
    <row r="13" spans="1:16" s="118" customFormat="1" ht="15.6" customHeight="1" x14ac:dyDescent="0.3">
      <c r="A13" s="124">
        <v>1</v>
      </c>
      <c r="B13" s="196" t="s">
        <v>15</v>
      </c>
      <c r="C13" s="196" t="s">
        <v>224</v>
      </c>
      <c r="D13" s="194">
        <v>525</v>
      </c>
      <c r="E13" s="124">
        <v>200</v>
      </c>
      <c r="F13" s="195"/>
      <c r="G13" s="195">
        <v>200</v>
      </c>
      <c r="H13" s="195"/>
      <c r="I13" s="195"/>
      <c r="J13" s="195">
        <v>200</v>
      </c>
      <c r="K13" s="195"/>
      <c r="L13" s="195"/>
      <c r="M13" s="195"/>
      <c r="N13" s="195">
        <f t="shared" si="0"/>
        <v>600</v>
      </c>
      <c r="O13" s="203">
        <f t="shared" si="1"/>
        <v>75</v>
      </c>
      <c r="P13" s="138"/>
    </row>
    <row r="14" spans="1:16" s="118" customFormat="1" ht="15.6" customHeight="1" x14ac:dyDescent="0.3">
      <c r="A14" s="119">
        <v>1</v>
      </c>
      <c r="B14" s="136" t="s">
        <v>16</v>
      </c>
      <c r="C14" s="136" t="s">
        <v>17</v>
      </c>
      <c r="D14" s="136">
        <v>525</v>
      </c>
      <c r="E14" s="119"/>
      <c r="F14" s="92"/>
      <c r="G14" s="92">
        <v>300</v>
      </c>
      <c r="H14" s="92"/>
      <c r="I14" s="92"/>
      <c r="J14" s="92"/>
      <c r="K14" s="92"/>
      <c r="L14" s="92"/>
      <c r="M14" s="223">
        <v>300</v>
      </c>
      <c r="N14" s="92">
        <f t="shared" si="0"/>
        <v>300</v>
      </c>
      <c r="O14" s="138">
        <f t="shared" si="1"/>
        <v>-225</v>
      </c>
      <c r="P14" s="138"/>
    </row>
    <row r="15" spans="1:16" s="118" customFormat="1" ht="15.6" customHeight="1" x14ac:dyDescent="0.3">
      <c r="A15" s="124">
        <v>1</v>
      </c>
      <c r="B15" s="194" t="s">
        <v>18</v>
      </c>
      <c r="C15" s="194" t="s">
        <v>19</v>
      </c>
      <c r="D15" s="194">
        <v>525</v>
      </c>
      <c r="E15" s="124"/>
      <c r="F15" s="195"/>
      <c r="G15" s="195">
        <v>300</v>
      </c>
      <c r="H15" s="195"/>
      <c r="I15" s="195">
        <v>350</v>
      </c>
      <c r="J15" s="195"/>
      <c r="K15" s="195"/>
      <c r="L15" s="195"/>
      <c r="M15" s="195"/>
      <c r="N15" s="195">
        <f t="shared" si="0"/>
        <v>650</v>
      </c>
      <c r="O15" s="203">
        <f t="shared" si="1"/>
        <v>125</v>
      </c>
      <c r="P15" s="138">
        <v>50</v>
      </c>
    </row>
    <row r="16" spans="1:16" s="118" customFormat="1" ht="15.6" customHeight="1" x14ac:dyDescent="0.3">
      <c r="A16" s="124">
        <v>1</v>
      </c>
      <c r="B16" s="194" t="s">
        <v>20</v>
      </c>
      <c r="C16" s="194" t="s">
        <v>21</v>
      </c>
      <c r="D16" s="194">
        <v>525</v>
      </c>
      <c r="E16" s="124"/>
      <c r="F16" s="195"/>
      <c r="G16" s="195"/>
      <c r="H16" s="195">
        <v>25</v>
      </c>
      <c r="I16" s="195"/>
      <c r="J16" s="195">
        <v>575</v>
      </c>
      <c r="K16" s="195"/>
      <c r="L16" s="195"/>
      <c r="M16" s="195"/>
      <c r="N16" s="195">
        <f t="shared" si="0"/>
        <v>600</v>
      </c>
      <c r="O16" s="203">
        <f t="shared" si="1"/>
        <v>75</v>
      </c>
      <c r="P16" s="138"/>
    </row>
    <row r="17" spans="1:16" s="118" customFormat="1" ht="15.6" customHeight="1" x14ac:dyDescent="0.3">
      <c r="A17" s="124">
        <v>1</v>
      </c>
      <c r="B17" s="194" t="s">
        <v>172</v>
      </c>
      <c r="C17" s="194" t="s">
        <v>24</v>
      </c>
      <c r="D17" s="194">
        <v>525</v>
      </c>
      <c r="E17" s="124">
        <v>600</v>
      </c>
      <c r="F17" s="195"/>
      <c r="G17" s="195"/>
      <c r="H17" s="195"/>
      <c r="I17" s="195"/>
      <c r="J17" s="195"/>
      <c r="K17" s="195"/>
      <c r="L17" s="195"/>
      <c r="M17" s="195"/>
      <c r="N17" s="195">
        <f t="shared" si="0"/>
        <v>600</v>
      </c>
      <c r="O17" s="203">
        <f t="shared" si="1"/>
        <v>75</v>
      </c>
      <c r="P17" s="138"/>
    </row>
    <row r="18" spans="1:16" s="118" customFormat="1" ht="15.6" customHeight="1" x14ac:dyDescent="0.3">
      <c r="A18" s="124">
        <v>1</v>
      </c>
      <c r="B18" s="194" t="s">
        <v>25</v>
      </c>
      <c r="C18" s="194" t="s">
        <v>26</v>
      </c>
      <c r="D18" s="194">
        <v>525</v>
      </c>
      <c r="E18" s="124"/>
      <c r="F18" s="195"/>
      <c r="G18" s="195">
        <v>600</v>
      </c>
      <c r="H18" s="195"/>
      <c r="I18" s="195"/>
      <c r="J18" s="195"/>
      <c r="K18" s="195"/>
      <c r="L18" s="195"/>
      <c r="M18" s="195"/>
      <c r="N18" s="195">
        <f t="shared" si="0"/>
        <v>600</v>
      </c>
      <c r="O18" s="203">
        <f t="shared" si="1"/>
        <v>75</v>
      </c>
      <c r="P18" s="138"/>
    </row>
    <row r="19" spans="1:16" s="118" customFormat="1" ht="15.6" customHeight="1" x14ac:dyDescent="0.3">
      <c r="A19" s="119">
        <v>1</v>
      </c>
      <c r="B19" s="136" t="s">
        <v>27</v>
      </c>
      <c r="C19" s="136" t="s">
        <v>28</v>
      </c>
      <c r="D19" s="136">
        <v>525</v>
      </c>
      <c r="E19" s="119">
        <v>300</v>
      </c>
      <c r="F19" s="92"/>
      <c r="G19" s="92"/>
      <c r="H19" s="92"/>
      <c r="I19" s="92"/>
      <c r="J19" s="92"/>
      <c r="K19" s="92"/>
      <c r="L19" s="92"/>
      <c r="M19" s="92"/>
      <c r="N19" s="92">
        <f t="shared" si="0"/>
        <v>300</v>
      </c>
      <c r="O19" s="138">
        <f t="shared" si="1"/>
        <v>-225</v>
      </c>
      <c r="P19" s="138"/>
    </row>
    <row r="20" spans="1:16" s="118" customFormat="1" ht="15.6" customHeight="1" x14ac:dyDescent="0.3">
      <c r="A20" s="124">
        <v>1</v>
      </c>
      <c r="B20" s="194" t="s">
        <v>29</v>
      </c>
      <c r="C20" s="194" t="s">
        <v>137</v>
      </c>
      <c r="D20" s="194">
        <v>525</v>
      </c>
      <c r="E20" s="124">
        <v>100</v>
      </c>
      <c r="F20" s="195">
        <v>500</v>
      </c>
      <c r="G20" s="195"/>
      <c r="H20" s="195"/>
      <c r="I20" s="195"/>
      <c r="J20" s="195"/>
      <c r="K20" s="195"/>
      <c r="L20" s="195"/>
      <c r="M20" s="195"/>
      <c r="N20" s="195">
        <f t="shared" si="0"/>
        <v>600</v>
      </c>
      <c r="O20" s="203">
        <f t="shared" si="1"/>
        <v>75</v>
      </c>
      <c r="P20" s="138"/>
    </row>
    <row r="21" spans="1:16" s="118" customFormat="1" ht="15.6" customHeight="1" x14ac:dyDescent="0.3">
      <c r="A21" s="124">
        <v>1</v>
      </c>
      <c r="B21" s="194" t="s">
        <v>30</v>
      </c>
      <c r="C21" s="194" t="s">
        <v>31</v>
      </c>
      <c r="D21" s="194">
        <v>525</v>
      </c>
      <c r="E21" s="124">
        <v>300</v>
      </c>
      <c r="F21" s="195">
        <v>300</v>
      </c>
      <c r="G21" s="195"/>
      <c r="H21" s="195"/>
      <c r="I21" s="195"/>
      <c r="J21" s="195"/>
      <c r="K21" s="195"/>
      <c r="L21" s="195"/>
      <c r="M21" s="195"/>
      <c r="N21" s="195">
        <f t="shared" si="0"/>
        <v>600</v>
      </c>
      <c r="O21" s="203">
        <f t="shared" si="1"/>
        <v>75</v>
      </c>
      <c r="P21" s="138"/>
    </row>
    <row r="22" spans="1:16" s="118" customFormat="1" ht="15.6" customHeight="1" x14ac:dyDescent="0.3">
      <c r="A22" s="124">
        <v>1</v>
      </c>
      <c r="B22" s="196" t="s">
        <v>32</v>
      </c>
      <c r="C22" s="196" t="s">
        <v>33</v>
      </c>
      <c r="D22" s="194">
        <v>525</v>
      </c>
      <c r="E22" s="124">
        <v>300</v>
      </c>
      <c r="F22" s="195"/>
      <c r="G22" s="195"/>
      <c r="H22" s="195"/>
      <c r="I22" s="195"/>
      <c r="J22" s="195">
        <v>350</v>
      </c>
      <c r="K22" s="195"/>
      <c r="L22" s="195"/>
      <c r="M22" s="195"/>
      <c r="N22" s="195">
        <f t="shared" si="0"/>
        <v>650</v>
      </c>
      <c r="O22" s="203">
        <f t="shared" si="1"/>
        <v>125</v>
      </c>
      <c r="P22" s="138">
        <v>50</v>
      </c>
    </row>
    <row r="23" spans="1:16" s="118" customFormat="1" ht="15.6" customHeight="1" x14ac:dyDescent="0.3">
      <c r="A23" s="124">
        <v>1</v>
      </c>
      <c r="B23" s="194" t="s">
        <v>34</v>
      </c>
      <c r="C23" s="194" t="s">
        <v>35</v>
      </c>
      <c r="D23" s="194">
        <v>525</v>
      </c>
      <c r="E23" s="124"/>
      <c r="F23" s="195"/>
      <c r="G23" s="195"/>
      <c r="H23" s="195"/>
      <c r="I23" s="195">
        <v>1100</v>
      </c>
      <c r="J23" s="195"/>
      <c r="K23" s="195"/>
      <c r="L23" s="195"/>
      <c r="M23" s="195"/>
      <c r="N23" s="195">
        <f t="shared" si="0"/>
        <v>1100</v>
      </c>
      <c r="O23" s="203">
        <f t="shared" si="1"/>
        <v>575</v>
      </c>
      <c r="P23" s="138">
        <v>500</v>
      </c>
    </row>
    <row r="24" spans="1:16" s="118" customFormat="1" ht="15.6" customHeight="1" x14ac:dyDescent="0.3">
      <c r="A24" s="119">
        <v>1</v>
      </c>
      <c r="B24" s="137" t="s">
        <v>185</v>
      </c>
      <c r="C24" s="137" t="s">
        <v>186</v>
      </c>
      <c r="D24" s="136">
        <v>525</v>
      </c>
      <c r="E24" s="119">
        <v>300</v>
      </c>
      <c r="F24" s="92"/>
      <c r="G24" s="92"/>
      <c r="H24" s="92"/>
      <c r="I24" s="92"/>
      <c r="J24" s="92"/>
      <c r="K24" s="92"/>
      <c r="L24" s="92"/>
      <c r="M24" s="92"/>
      <c r="N24" s="92">
        <f t="shared" si="0"/>
        <v>300</v>
      </c>
      <c r="O24" s="138">
        <f t="shared" si="1"/>
        <v>-225</v>
      </c>
      <c r="P24" s="138"/>
    </row>
    <row r="25" spans="1:16" s="118" customFormat="1" ht="15.6" customHeight="1" x14ac:dyDescent="0.3">
      <c r="A25" s="124">
        <v>1</v>
      </c>
      <c r="B25" s="196" t="s">
        <v>36</v>
      </c>
      <c r="C25" s="196" t="s">
        <v>228</v>
      </c>
      <c r="D25" s="194">
        <v>525</v>
      </c>
      <c r="E25" s="124">
        <v>300</v>
      </c>
      <c r="F25" s="195"/>
      <c r="G25" s="195"/>
      <c r="H25" s="195"/>
      <c r="I25" s="195"/>
      <c r="J25" s="195">
        <v>300</v>
      </c>
      <c r="K25" s="195"/>
      <c r="L25" s="195"/>
      <c r="M25" s="195"/>
      <c r="N25" s="195">
        <f t="shared" si="0"/>
        <v>600</v>
      </c>
      <c r="O25" s="203">
        <f t="shared" si="1"/>
        <v>75</v>
      </c>
      <c r="P25" s="138"/>
    </row>
    <row r="26" spans="1:16" s="118" customFormat="1" ht="15.6" customHeight="1" x14ac:dyDescent="0.3">
      <c r="A26" s="124">
        <v>1</v>
      </c>
      <c r="B26" s="196" t="s">
        <v>37</v>
      </c>
      <c r="C26" s="196" t="s">
        <v>38</v>
      </c>
      <c r="D26" s="194">
        <v>525</v>
      </c>
      <c r="E26" s="124"/>
      <c r="F26" s="195"/>
      <c r="G26" s="195"/>
      <c r="H26" s="195"/>
      <c r="I26" s="195"/>
      <c r="J26" s="195">
        <v>600</v>
      </c>
      <c r="K26" s="195"/>
      <c r="L26" s="195"/>
      <c r="M26" s="195"/>
      <c r="N26" s="195">
        <f t="shared" si="0"/>
        <v>600</v>
      </c>
      <c r="O26" s="203">
        <f t="shared" si="1"/>
        <v>75</v>
      </c>
      <c r="P26" s="138"/>
    </row>
    <row r="27" spans="1:16" s="118" customFormat="1" ht="15.6" customHeight="1" x14ac:dyDescent="0.3">
      <c r="A27" s="124">
        <v>1</v>
      </c>
      <c r="B27" s="196" t="s">
        <v>142</v>
      </c>
      <c r="C27" s="196" t="s">
        <v>39</v>
      </c>
      <c r="D27" s="194">
        <v>525</v>
      </c>
      <c r="E27" s="124">
        <v>600</v>
      </c>
      <c r="F27" s="195"/>
      <c r="G27" s="195"/>
      <c r="H27" s="195"/>
      <c r="I27" s="195"/>
      <c r="J27" s="195"/>
      <c r="K27" s="195"/>
      <c r="L27" s="195"/>
      <c r="M27" s="195"/>
      <c r="N27" s="195">
        <f t="shared" si="0"/>
        <v>600</v>
      </c>
      <c r="O27" s="203">
        <f t="shared" si="1"/>
        <v>75</v>
      </c>
      <c r="P27" s="138"/>
    </row>
    <row r="28" spans="1:16" s="118" customFormat="1" ht="15.6" customHeight="1" x14ac:dyDescent="0.3">
      <c r="A28" s="124">
        <v>1</v>
      </c>
      <c r="B28" s="197" t="s">
        <v>378</v>
      </c>
      <c r="C28" s="197" t="s">
        <v>379</v>
      </c>
      <c r="D28" s="194">
        <v>525</v>
      </c>
      <c r="E28" s="124"/>
      <c r="F28" s="195"/>
      <c r="G28" s="195">
        <v>650</v>
      </c>
      <c r="H28" s="195"/>
      <c r="I28" s="195"/>
      <c r="J28" s="195"/>
      <c r="K28" s="195"/>
      <c r="L28" s="195"/>
      <c r="M28" s="195"/>
      <c r="N28" s="195">
        <f t="shared" si="0"/>
        <v>650</v>
      </c>
      <c r="O28" s="203">
        <f t="shared" si="1"/>
        <v>125</v>
      </c>
      <c r="P28" s="138">
        <v>50</v>
      </c>
    </row>
    <row r="29" spans="1:16" s="118" customFormat="1" ht="15.6" customHeight="1" x14ac:dyDescent="0.3">
      <c r="A29" s="124">
        <v>1</v>
      </c>
      <c r="B29" s="197" t="s">
        <v>386</v>
      </c>
      <c r="C29" s="197" t="s">
        <v>387</v>
      </c>
      <c r="D29" s="194">
        <v>525</v>
      </c>
      <c r="E29" s="124"/>
      <c r="F29" s="195"/>
      <c r="G29" s="195"/>
      <c r="H29" s="195"/>
      <c r="I29" s="195">
        <v>300</v>
      </c>
      <c r="J29" s="195"/>
      <c r="K29" s="195"/>
      <c r="L29" s="195">
        <v>300</v>
      </c>
      <c r="M29" s="195"/>
      <c r="N29" s="195">
        <f>SUM(E29:L29)</f>
        <v>600</v>
      </c>
      <c r="O29" s="138">
        <f t="shared" si="1"/>
        <v>75</v>
      </c>
      <c r="P29" s="138"/>
    </row>
    <row r="30" spans="1:16" s="118" customFormat="1" ht="15.6" customHeight="1" x14ac:dyDescent="0.3">
      <c r="A30" s="119">
        <v>1</v>
      </c>
      <c r="B30" s="135" t="s">
        <v>398</v>
      </c>
      <c r="C30" s="135" t="s">
        <v>399</v>
      </c>
      <c r="D30" s="136">
        <v>525</v>
      </c>
      <c r="E30" s="119"/>
      <c r="F30" s="92"/>
      <c r="G30" s="92"/>
      <c r="H30" s="92">
        <v>300</v>
      </c>
      <c r="I30" s="92"/>
      <c r="J30" s="92"/>
      <c r="K30" s="92"/>
      <c r="L30" s="92"/>
      <c r="M30" s="92"/>
      <c r="N30" s="92">
        <f t="shared" si="0"/>
        <v>300</v>
      </c>
      <c r="O30" s="138">
        <f t="shared" si="1"/>
        <v>-225</v>
      </c>
      <c r="P30" s="138"/>
    </row>
    <row r="31" spans="1:16" s="118" customFormat="1" ht="15.6" customHeight="1" x14ac:dyDescent="0.3">
      <c r="A31" s="198">
        <v>1</v>
      </c>
      <c r="B31" s="199" t="s">
        <v>22</v>
      </c>
      <c r="C31" s="199" t="s">
        <v>23</v>
      </c>
      <c r="D31" s="200">
        <v>525</v>
      </c>
      <c r="E31" s="198"/>
      <c r="F31" s="201"/>
      <c r="G31" s="201"/>
      <c r="H31" s="202"/>
      <c r="I31" s="202"/>
      <c r="J31" s="202"/>
      <c r="K31" s="202">
        <v>600</v>
      </c>
      <c r="L31" s="202"/>
      <c r="M31" s="202"/>
      <c r="N31" s="195">
        <f>SUM(E31:K31)</f>
        <v>600</v>
      </c>
      <c r="O31" s="203">
        <f t="shared" si="1"/>
        <v>75</v>
      </c>
      <c r="P31" s="138"/>
    </row>
    <row r="32" spans="1:16" x14ac:dyDescent="0.3">
      <c r="A32" s="129">
        <f>SUM(A5:A31)</f>
        <v>27</v>
      </c>
      <c r="B32" s="130"/>
      <c r="C32" s="130"/>
      <c r="D32" s="130">
        <f>SUM(D5:D31)</f>
        <v>14175</v>
      </c>
      <c r="E32" s="131">
        <f>SUM(E5:E27)</f>
        <v>4165</v>
      </c>
      <c r="F32" s="132">
        <f>SUM(F5:F27)</f>
        <v>1400</v>
      </c>
      <c r="G32" s="132">
        <f>SUM(G5:G29)</f>
        <v>3050</v>
      </c>
      <c r="H32" s="217">
        <f>SUM(H5:H30)</f>
        <v>825</v>
      </c>
      <c r="I32" s="217">
        <f>SUM(I5:I30)</f>
        <v>1950</v>
      </c>
      <c r="J32" s="217">
        <f>SUM(J5:J30)</f>
        <v>3260</v>
      </c>
      <c r="K32" s="217">
        <f>SUM(K5:K31)</f>
        <v>600</v>
      </c>
      <c r="L32" s="217">
        <f>SUM(L5:L31)</f>
        <v>400</v>
      </c>
      <c r="M32" s="217">
        <f>SUM(M5:M31)</f>
        <v>300</v>
      </c>
      <c r="N32" s="193">
        <f>SUM(N5:N31)</f>
        <v>15650</v>
      </c>
      <c r="O32" s="141"/>
      <c r="P32" s="141">
        <f>SUM(P5:P31)</f>
        <v>950</v>
      </c>
    </row>
    <row r="33" spans="1:16" x14ac:dyDescent="0.3">
      <c r="A33" s="146"/>
      <c r="B33" s="142"/>
      <c r="C33" s="142"/>
      <c r="D33" s="142"/>
      <c r="E33" s="144"/>
      <c r="F33" s="186"/>
      <c r="G33" s="141"/>
      <c r="H33" s="141"/>
      <c r="I33" s="141"/>
      <c r="J33" s="141"/>
      <c r="K33" s="141"/>
      <c r="L33" s="141"/>
      <c r="M33" s="141"/>
      <c r="N33" s="141"/>
      <c r="O33" s="141"/>
      <c r="P33" s="141"/>
    </row>
    <row r="34" spans="1:16" x14ac:dyDescent="0.3">
      <c r="A34" s="146"/>
      <c r="B34" s="142"/>
      <c r="C34" s="142"/>
      <c r="D34" s="142"/>
      <c r="E34" s="144"/>
      <c r="F34" s="186"/>
      <c r="G34" s="141"/>
      <c r="H34" s="141"/>
      <c r="I34" s="141"/>
      <c r="J34" s="141"/>
      <c r="K34" s="141"/>
      <c r="L34" s="141"/>
      <c r="M34" s="141"/>
      <c r="N34" s="141"/>
      <c r="O34" s="141"/>
      <c r="P34" s="141"/>
    </row>
    <row r="35" spans="1:16" x14ac:dyDescent="0.3">
      <c r="A35" s="146"/>
      <c r="B35" s="142"/>
      <c r="C35" s="142"/>
      <c r="D35" s="142"/>
      <c r="E35" s="144"/>
      <c r="F35" s="186"/>
      <c r="G35" s="141"/>
      <c r="H35" s="141"/>
      <c r="I35" s="141"/>
      <c r="J35" s="141"/>
      <c r="K35" s="141"/>
      <c r="L35" s="141"/>
      <c r="M35" s="141"/>
      <c r="N35" s="141"/>
      <c r="O35" s="141"/>
      <c r="P35" s="141"/>
    </row>
    <row r="36" spans="1:16" x14ac:dyDescent="0.3">
      <c r="A36" s="146"/>
      <c r="B36" s="142"/>
      <c r="C36" s="142"/>
      <c r="D36" s="142"/>
      <c r="E36" s="144"/>
      <c r="F36" s="186"/>
      <c r="G36" s="141"/>
      <c r="H36" s="141"/>
      <c r="I36" s="141"/>
      <c r="J36" s="141"/>
      <c r="K36" s="141"/>
      <c r="L36" s="141"/>
      <c r="M36" s="141"/>
      <c r="N36" s="141"/>
      <c r="O36" s="141"/>
      <c r="P36" s="141"/>
    </row>
    <row r="37" spans="1:16" x14ac:dyDescent="0.3">
      <c r="A37" s="146"/>
      <c r="B37" s="142"/>
      <c r="C37" s="142"/>
      <c r="D37" s="142"/>
      <c r="E37" s="144"/>
      <c r="F37" s="186"/>
      <c r="G37" s="141"/>
      <c r="H37" s="141"/>
      <c r="I37" s="141"/>
      <c r="J37" s="141"/>
      <c r="K37" s="141"/>
      <c r="L37" s="141"/>
      <c r="M37" s="141"/>
      <c r="N37" s="141"/>
      <c r="O37" s="141"/>
      <c r="P37" s="141"/>
    </row>
    <row r="38" spans="1:16" x14ac:dyDescent="0.3">
      <c r="A38" s="146"/>
      <c r="B38" s="142"/>
      <c r="C38" s="142"/>
      <c r="D38" s="142"/>
      <c r="E38" s="144"/>
      <c r="F38" s="186"/>
      <c r="G38" s="141"/>
      <c r="H38" s="141"/>
      <c r="I38" s="141"/>
      <c r="J38" s="141"/>
      <c r="K38" s="141"/>
      <c r="L38" s="141"/>
      <c r="M38" s="141"/>
      <c r="N38" s="141"/>
      <c r="O38" s="141"/>
      <c r="P38" s="141"/>
    </row>
    <row r="39" spans="1:16" x14ac:dyDescent="0.3">
      <c r="A39" s="146"/>
      <c r="B39" s="142"/>
      <c r="C39" s="142"/>
      <c r="D39" s="142"/>
      <c r="E39" s="144"/>
      <c r="F39" s="186"/>
      <c r="G39" s="141"/>
      <c r="H39" s="141"/>
      <c r="I39" s="141"/>
      <c r="J39" s="141"/>
      <c r="K39" s="141"/>
      <c r="L39" s="141"/>
      <c r="M39" s="141"/>
      <c r="N39" s="141"/>
      <c r="O39" s="141"/>
      <c r="P39" s="141"/>
    </row>
    <row r="40" spans="1:16" x14ac:dyDescent="0.3">
      <c r="A40" s="146"/>
      <c r="B40" s="142"/>
      <c r="C40" s="142"/>
      <c r="D40" s="142"/>
      <c r="E40" s="144"/>
      <c r="F40" s="186"/>
      <c r="G40" s="141"/>
      <c r="H40" s="141"/>
      <c r="I40" s="141"/>
      <c r="J40" s="141"/>
      <c r="K40" s="141"/>
      <c r="L40" s="141"/>
      <c r="M40" s="141"/>
      <c r="N40" s="141"/>
      <c r="O40" s="141"/>
      <c r="P40" s="141"/>
    </row>
    <row r="41" spans="1:16" x14ac:dyDescent="0.3">
      <c r="A41" s="146"/>
      <c r="B41" s="142"/>
      <c r="C41" s="142"/>
      <c r="D41" s="142"/>
      <c r="E41" s="144"/>
      <c r="F41" s="186"/>
      <c r="G41" s="141"/>
      <c r="H41" s="141"/>
      <c r="I41" s="141"/>
      <c r="J41" s="141"/>
      <c r="K41" s="141"/>
      <c r="L41" s="141"/>
      <c r="M41" s="141"/>
      <c r="N41" s="141"/>
      <c r="O41" s="141"/>
      <c r="P41" s="141"/>
    </row>
    <row r="42" spans="1:16" x14ac:dyDescent="0.3">
      <c r="A42" s="146"/>
      <c r="B42" s="142"/>
      <c r="C42" s="142"/>
      <c r="D42" s="142"/>
      <c r="E42" s="144"/>
      <c r="F42" s="186"/>
      <c r="G42" s="141"/>
      <c r="H42" s="141"/>
      <c r="I42" s="141"/>
      <c r="J42" s="141"/>
      <c r="K42" s="141"/>
      <c r="L42" s="141"/>
      <c r="M42" s="141"/>
      <c r="N42" s="141"/>
      <c r="O42" s="141"/>
      <c r="P42" s="141"/>
    </row>
    <row r="43" spans="1:16" x14ac:dyDescent="0.3">
      <c r="A43" s="146"/>
      <c r="B43" s="142"/>
      <c r="C43" s="142"/>
      <c r="D43" s="142"/>
      <c r="E43" s="144"/>
      <c r="F43" s="186"/>
      <c r="G43" s="141"/>
      <c r="H43" s="141"/>
      <c r="I43" s="141"/>
      <c r="J43" s="141"/>
      <c r="K43" s="141"/>
      <c r="L43" s="141"/>
      <c r="M43" s="141"/>
      <c r="N43" s="141"/>
      <c r="O43" s="141"/>
      <c r="P43" s="141"/>
    </row>
    <row r="44" spans="1:16" x14ac:dyDescent="0.3">
      <c r="A44" s="146"/>
      <c r="B44" s="142"/>
      <c r="C44" s="142"/>
      <c r="D44" s="142"/>
      <c r="E44" s="144"/>
      <c r="F44" s="186"/>
      <c r="G44" s="141"/>
      <c r="H44" s="141"/>
      <c r="I44" s="141"/>
      <c r="J44" s="141"/>
      <c r="K44" s="141"/>
      <c r="L44" s="141"/>
      <c r="M44" s="141"/>
      <c r="N44" s="141"/>
      <c r="O44" s="141"/>
      <c r="P44" s="141"/>
    </row>
    <row r="45" spans="1:16" x14ac:dyDescent="0.3">
      <c r="A45" s="146"/>
      <c r="B45" s="142"/>
      <c r="C45" s="142"/>
      <c r="D45" s="142"/>
      <c r="E45" s="144"/>
      <c r="F45" s="186"/>
      <c r="G45" s="141"/>
      <c r="H45" s="141"/>
      <c r="I45" s="141"/>
      <c r="J45" s="141"/>
      <c r="K45" s="141"/>
      <c r="L45" s="141"/>
      <c r="M45" s="141"/>
      <c r="N45" s="141"/>
      <c r="O45" s="141"/>
      <c r="P45" s="141"/>
    </row>
    <row r="46" spans="1:16" x14ac:dyDescent="0.3">
      <c r="A46" s="146"/>
      <c r="B46" s="142"/>
      <c r="C46" s="142"/>
      <c r="D46" s="142"/>
      <c r="E46" s="144"/>
      <c r="F46" s="186"/>
      <c r="G46" s="141"/>
      <c r="H46" s="141"/>
      <c r="I46" s="141"/>
      <c r="J46" s="141"/>
      <c r="K46" s="141"/>
      <c r="L46" s="141"/>
      <c r="M46" s="141"/>
      <c r="N46" s="141"/>
      <c r="O46" s="141"/>
      <c r="P46" s="141"/>
    </row>
    <row r="47" spans="1:16" x14ac:dyDescent="0.3">
      <c r="A47" s="146"/>
      <c r="B47" s="142"/>
      <c r="C47" s="142"/>
      <c r="D47" s="142"/>
      <c r="E47" s="144"/>
      <c r="F47" s="186"/>
      <c r="G47" s="141"/>
      <c r="H47" s="141"/>
      <c r="I47" s="141"/>
      <c r="J47" s="141"/>
      <c r="K47" s="141"/>
      <c r="L47" s="141"/>
      <c r="M47" s="141"/>
      <c r="N47" s="141"/>
      <c r="O47" s="141"/>
      <c r="P47" s="141"/>
    </row>
    <row r="48" spans="1:16" x14ac:dyDescent="0.3">
      <c r="A48" s="146"/>
      <c r="B48" s="142"/>
      <c r="C48" s="142"/>
      <c r="D48" s="142"/>
      <c r="E48" s="144"/>
      <c r="F48" s="186"/>
      <c r="G48" s="141"/>
      <c r="H48" s="141"/>
      <c r="I48" s="141"/>
      <c r="J48" s="141"/>
      <c r="K48" s="141"/>
      <c r="L48" s="141"/>
      <c r="M48" s="141"/>
      <c r="N48" s="141"/>
      <c r="O48" s="141"/>
      <c r="P48" s="141"/>
    </row>
    <row r="49" spans="1:16" x14ac:dyDescent="0.3">
      <c r="A49" s="146"/>
      <c r="B49" s="142"/>
      <c r="C49" s="142"/>
      <c r="D49" s="142"/>
      <c r="E49" s="144"/>
      <c r="F49" s="186"/>
      <c r="G49" s="141"/>
      <c r="H49" s="141"/>
      <c r="I49" s="141"/>
      <c r="J49" s="141"/>
      <c r="K49" s="141"/>
      <c r="L49" s="141"/>
      <c r="M49" s="141"/>
      <c r="N49" s="141"/>
      <c r="O49" s="141"/>
      <c r="P49" s="141"/>
    </row>
    <row r="50" spans="1:16" x14ac:dyDescent="0.3">
      <c r="A50" s="146"/>
      <c r="B50" s="142"/>
      <c r="C50" s="142"/>
      <c r="D50" s="142"/>
      <c r="E50" s="144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</row>
    <row r="51" spans="1:16" x14ac:dyDescent="0.3">
      <c r="A51" s="144" t="s">
        <v>237</v>
      </c>
      <c r="B51" s="143"/>
      <c r="C51" s="143"/>
      <c r="D51" s="143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</row>
    <row r="52" spans="1:16" x14ac:dyDescent="0.3">
      <c r="A52" s="141"/>
      <c r="B52" s="143"/>
      <c r="C52" s="143"/>
      <c r="D52" s="143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</row>
    <row r="53" spans="1:16" ht="45" x14ac:dyDescent="0.3">
      <c r="A53" s="145" t="s">
        <v>48</v>
      </c>
      <c r="B53" s="145" t="s">
        <v>40</v>
      </c>
      <c r="C53" s="145" t="s">
        <v>41</v>
      </c>
      <c r="D53" s="145" t="s">
        <v>483</v>
      </c>
      <c r="E53" s="155" t="s">
        <v>346</v>
      </c>
      <c r="F53" s="155" t="s">
        <v>355</v>
      </c>
      <c r="G53" s="155" t="s">
        <v>390</v>
      </c>
      <c r="H53" s="155" t="s">
        <v>395</v>
      </c>
      <c r="I53" s="155" t="s">
        <v>425</v>
      </c>
      <c r="J53" s="155" t="s">
        <v>431</v>
      </c>
      <c r="K53" s="155"/>
      <c r="L53" s="155"/>
      <c r="M53" s="155"/>
      <c r="N53" s="187" t="s">
        <v>169</v>
      </c>
      <c r="O53" s="141" t="s">
        <v>488</v>
      </c>
      <c r="P53" s="141" t="s">
        <v>487</v>
      </c>
    </row>
    <row r="54" spans="1:16" ht="15.6" customHeight="1" x14ac:dyDescent="0.3">
      <c r="A54" s="59">
        <v>1</v>
      </c>
      <c r="B54" s="204" t="s">
        <v>49</v>
      </c>
      <c r="C54" s="205" t="s">
        <v>50</v>
      </c>
      <c r="D54" s="205">
        <v>525</v>
      </c>
      <c r="E54" s="59"/>
      <c r="F54" s="206"/>
      <c r="G54" s="206">
        <v>600</v>
      </c>
      <c r="H54" s="206"/>
      <c r="I54" s="206"/>
      <c r="J54" s="206"/>
      <c r="K54" s="206"/>
      <c r="L54" s="206"/>
      <c r="M54" s="206"/>
      <c r="N54" s="206">
        <f t="shared" ref="N54:N81" si="2">SUM(E54:J54)</f>
        <v>600</v>
      </c>
      <c r="O54" s="66">
        <f>N54-D54</f>
        <v>75</v>
      </c>
      <c r="P54" s="141"/>
    </row>
    <row r="55" spans="1:16" ht="15.6" customHeight="1" x14ac:dyDescent="0.3">
      <c r="A55" s="59">
        <v>1</v>
      </c>
      <c r="B55" s="204" t="s">
        <v>51</v>
      </c>
      <c r="C55" s="204" t="s">
        <v>52</v>
      </c>
      <c r="D55" s="205">
        <v>525</v>
      </c>
      <c r="E55" s="59">
        <v>300</v>
      </c>
      <c r="F55" s="206"/>
      <c r="G55" s="206"/>
      <c r="H55" s="206"/>
      <c r="I55" s="206"/>
      <c r="J55" s="206">
        <v>300</v>
      </c>
      <c r="K55" s="206"/>
      <c r="L55" s="206"/>
      <c r="M55" s="206"/>
      <c r="N55" s="206">
        <f t="shared" si="2"/>
        <v>600</v>
      </c>
      <c r="O55" s="66">
        <f t="shared" ref="O55:O81" si="3">N55-D55</f>
        <v>75</v>
      </c>
      <c r="P55" s="141"/>
    </row>
    <row r="56" spans="1:16" ht="15.6" customHeight="1" x14ac:dyDescent="0.3">
      <c r="A56" s="133">
        <v>1</v>
      </c>
      <c r="B56" s="94" t="s">
        <v>53</v>
      </c>
      <c r="C56" s="94" t="s">
        <v>54</v>
      </c>
      <c r="D56" s="139">
        <v>525</v>
      </c>
      <c r="E56" s="133"/>
      <c r="F56" s="185">
        <v>500</v>
      </c>
      <c r="G56" s="185"/>
      <c r="H56" s="185"/>
      <c r="I56" s="185"/>
      <c r="J56" s="185"/>
      <c r="K56" s="185"/>
      <c r="L56" s="185"/>
      <c r="M56" s="185"/>
      <c r="N56" s="185">
        <f t="shared" si="2"/>
        <v>500</v>
      </c>
      <c r="O56" s="141">
        <f t="shared" si="3"/>
        <v>-25</v>
      </c>
      <c r="P56" s="141"/>
    </row>
    <row r="57" spans="1:16" ht="15.6" customHeight="1" x14ac:dyDescent="0.3">
      <c r="A57" s="207">
        <v>1</v>
      </c>
      <c r="B57" s="204" t="s">
        <v>55</v>
      </c>
      <c r="C57" s="204" t="s">
        <v>56</v>
      </c>
      <c r="D57" s="205">
        <v>525</v>
      </c>
      <c r="E57" s="207"/>
      <c r="F57" s="195"/>
      <c r="G57" s="195"/>
      <c r="H57" s="195"/>
      <c r="I57" s="195"/>
      <c r="J57" s="195">
        <v>700</v>
      </c>
      <c r="K57" s="195"/>
      <c r="L57" s="195"/>
      <c r="M57" s="195"/>
      <c r="N57" s="206">
        <f t="shared" si="2"/>
        <v>700</v>
      </c>
      <c r="O57" s="66">
        <f t="shared" si="3"/>
        <v>175</v>
      </c>
      <c r="P57" s="141">
        <v>100</v>
      </c>
    </row>
    <row r="58" spans="1:16" ht="15.6" customHeight="1" x14ac:dyDescent="0.3">
      <c r="A58" s="59">
        <v>1</v>
      </c>
      <c r="B58" s="204" t="s">
        <v>57</v>
      </c>
      <c r="C58" s="204" t="s">
        <v>58</v>
      </c>
      <c r="D58" s="205">
        <v>525</v>
      </c>
      <c r="E58" s="59"/>
      <c r="F58" s="206">
        <v>600</v>
      </c>
      <c r="G58" s="206"/>
      <c r="H58" s="206"/>
      <c r="I58" s="206"/>
      <c r="J58" s="206"/>
      <c r="K58" s="206"/>
      <c r="L58" s="206"/>
      <c r="M58" s="206"/>
      <c r="N58" s="206">
        <f t="shared" si="2"/>
        <v>600</v>
      </c>
      <c r="O58" s="66">
        <f t="shared" si="3"/>
        <v>75</v>
      </c>
      <c r="P58" s="141"/>
    </row>
    <row r="59" spans="1:16" ht="15.6" customHeight="1" x14ac:dyDescent="0.3">
      <c r="A59" s="133">
        <v>1</v>
      </c>
      <c r="B59" s="94" t="s">
        <v>59</v>
      </c>
      <c r="C59" s="94" t="s">
        <v>60</v>
      </c>
      <c r="D59" s="139">
        <v>525</v>
      </c>
      <c r="E59" s="133"/>
      <c r="F59" s="185"/>
      <c r="G59" s="185"/>
      <c r="H59" s="185"/>
      <c r="I59" s="185"/>
      <c r="J59" s="185"/>
      <c r="K59" s="185"/>
      <c r="L59" s="185">
        <v>600</v>
      </c>
      <c r="M59" s="185"/>
      <c r="N59" s="185">
        <f>SUM(E59:L59)</f>
        <v>600</v>
      </c>
      <c r="O59" s="141">
        <f t="shared" si="3"/>
        <v>75</v>
      </c>
      <c r="P59" s="141"/>
    </row>
    <row r="60" spans="1:16" ht="15.6" customHeight="1" x14ac:dyDescent="0.3">
      <c r="A60" s="207">
        <v>1</v>
      </c>
      <c r="B60" s="204" t="s">
        <v>63</v>
      </c>
      <c r="C60" s="204" t="s">
        <v>266</v>
      </c>
      <c r="D60" s="205">
        <v>525</v>
      </c>
      <c r="E60" s="207"/>
      <c r="F60" s="195"/>
      <c r="G60" s="195"/>
      <c r="H60" s="195"/>
      <c r="I60" s="195"/>
      <c r="J60" s="195">
        <v>800</v>
      </c>
      <c r="K60" s="195"/>
      <c r="L60" s="195"/>
      <c r="M60" s="195"/>
      <c r="N60" s="195">
        <f t="shared" si="2"/>
        <v>800</v>
      </c>
      <c r="O60" s="66">
        <f t="shared" si="3"/>
        <v>275</v>
      </c>
      <c r="P60" s="141">
        <v>200</v>
      </c>
    </row>
    <row r="61" spans="1:16" ht="15.6" customHeight="1" x14ac:dyDescent="0.3">
      <c r="A61" s="207">
        <v>1</v>
      </c>
      <c r="B61" s="205" t="s">
        <v>64</v>
      </c>
      <c r="C61" s="205" t="s">
        <v>65</v>
      </c>
      <c r="D61" s="205">
        <v>525</v>
      </c>
      <c r="E61" s="207"/>
      <c r="F61" s="195">
        <v>300</v>
      </c>
      <c r="G61" s="195"/>
      <c r="H61" s="195"/>
      <c r="I61" s="195"/>
      <c r="J61" s="195">
        <v>300</v>
      </c>
      <c r="K61" s="195"/>
      <c r="L61" s="195"/>
      <c r="M61" s="195"/>
      <c r="N61" s="195">
        <f t="shared" si="2"/>
        <v>600</v>
      </c>
      <c r="O61" s="66">
        <f t="shared" si="3"/>
        <v>75</v>
      </c>
      <c r="P61" s="141"/>
    </row>
    <row r="62" spans="1:16" ht="15.6" customHeight="1" x14ac:dyDescent="0.3">
      <c r="A62" s="207">
        <v>1</v>
      </c>
      <c r="B62" s="205" t="s">
        <v>66</v>
      </c>
      <c r="C62" s="205" t="s">
        <v>150</v>
      </c>
      <c r="D62" s="205">
        <v>525</v>
      </c>
      <c r="E62" s="207">
        <v>600</v>
      </c>
      <c r="F62" s="195"/>
      <c r="G62" s="195"/>
      <c r="H62" s="195"/>
      <c r="I62" s="195"/>
      <c r="J62" s="195"/>
      <c r="K62" s="195"/>
      <c r="L62" s="195"/>
      <c r="M62" s="195"/>
      <c r="N62" s="195">
        <f t="shared" si="2"/>
        <v>600</v>
      </c>
      <c r="O62" s="66">
        <f t="shared" si="3"/>
        <v>75</v>
      </c>
      <c r="P62" s="141"/>
    </row>
    <row r="63" spans="1:16" ht="15.6" customHeight="1" x14ac:dyDescent="0.3">
      <c r="A63" s="207">
        <v>1</v>
      </c>
      <c r="B63" s="204" t="s">
        <v>67</v>
      </c>
      <c r="C63" s="204" t="s">
        <v>68</v>
      </c>
      <c r="D63" s="205">
        <v>525</v>
      </c>
      <c r="E63" s="207"/>
      <c r="F63" s="195">
        <v>600</v>
      </c>
      <c r="G63" s="195"/>
      <c r="H63" s="195"/>
      <c r="I63" s="195"/>
      <c r="J63" s="195"/>
      <c r="K63" s="195"/>
      <c r="L63" s="195"/>
      <c r="M63" s="195"/>
      <c r="N63" s="195">
        <f t="shared" si="2"/>
        <v>600</v>
      </c>
      <c r="O63" s="66">
        <f t="shared" si="3"/>
        <v>75</v>
      </c>
      <c r="P63" s="141"/>
    </row>
    <row r="64" spans="1:16" ht="15.6" customHeight="1" x14ac:dyDescent="0.3">
      <c r="A64" s="207">
        <v>1</v>
      </c>
      <c r="B64" s="204" t="s">
        <v>492</v>
      </c>
      <c r="C64" s="204" t="s">
        <v>100</v>
      </c>
      <c r="D64" s="205">
        <v>525</v>
      </c>
      <c r="E64" s="207">
        <v>400</v>
      </c>
      <c r="F64" s="195"/>
      <c r="G64" s="195"/>
      <c r="H64" s="195"/>
      <c r="I64" s="195"/>
      <c r="J64" s="195">
        <v>200</v>
      </c>
      <c r="K64" s="195"/>
      <c r="L64" s="195"/>
      <c r="M64" s="195"/>
      <c r="N64" s="195">
        <f t="shared" si="2"/>
        <v>600</v>
      </c>
      <c r="O64" s="66">
        <f t="shared" si="3"/>
        <v>75</v>
      </c>
      <c r="P64" s="141"/>
    </row>
    <row r="65" spans="1:16" ht="15.6" customHeight="1" x14ac:dyDescent="0.3">
      <c r="A65" s="207">
        <v>1</v>
      </c>
      <c r="B65" s="204" t="s">
        <v>69</v>
      </c>
      <c r="C65" s="204" t="s">
        <v>70</v>
      </c>
      <c r="D65" s="205">
        <v>525</v>
      </c>
      <c r="E65" s="207"/>
      <c r="F65" s="195">
        <v>600</v>
      </c>
      <c r="G65" s="195"/>
      <c r="H65" s="195"/>
      <c r="I65" s="195"/>
      <c r="J65" s="195">
        <v>50</v>
      </c>
      <c r="K65" s="195"/>
      <c r="L65" s="195"/>
      <c r="M65" s="195"/>
      <c r="N65" s="195">
        <f t="shared" si="2"/>
        <v>650</v>
      </c>
      <c r="O65" s="66">
        <f t="shared" si="3"/>
        <v>125</v>
      </c>
      <c r="P65" s="141">
        <v>50</v>
      </c>
    </row>
    <row r="66" spans="1:16" ht="15.6" customHeight="1" x14ac:dyDescent="0.3">
      <c r="A66" s="207">
        <v>1</v>
      </c>
      <c r="B66" s="204" t="s">
        <v>71</v>
      </c>
      <c r="C66" s="204" t="s">
        <v>72</v>
      </c>
      <c r="D66" s="205">
        <v>525</v>
      </c>
      <c r="E66" s="207"/>
      <c r="F66" s="195">
        <v>600</v>
      </c>
      <c r="G66" s="195"/>
      <c r="H66" s="195"/>
      <c r="I66" s="195"/>
      <c r="J66" s="195"/>
      <c r="K66" s="195"/>
      <c r="L66" s="195"/>
      <c r="M66" s="195"/>
      <c r="N66" s="195">
        <f t="shared" si="2"/>
        <v>600</v>
      </c>
      <c r="O66" s="66">
        <f t="shared" si="3"/>
        <v>75</v>
      </c>
      <c r="P66" s="141"/>
    </row>
    <row r="67" spans="1:16" ht="15.6" customHeight="1" x14ac:dyDescent="0.3">
      <c r="A67" s="207">
        <v>1</v>
      </c>
      <c r="B67" s="204" t="s">
        <v>71</v>
      </c>
      <c r="C67" s="204" t="s">
        <v>73</v>
      </c>
      <c r="D67" s="205">
        <v>525</v>
      </c>
      <c r="E67" s="207"/>
      <c r="F67" s="195">
        <v>600</v>
      </c>
      <c r="G67" s="195"/>
      <c r="H67" s="195"/>
      <c r="I67" s="195"/>
      <c r="J67" s="195"/>
      <c r="K67" s="195"/>
      <c r="L67" s="195"/>
      <c r="M67" s="195"/>
      <c r="N67" s="195">
        <f t="shared" si="2"/>
        <v>600</v>
      </c>
      <c r="O67" s="66">
        <f t="shared" si="3"/>
        <v>75</v>
      </c>
      <c r="P67" s="141"/>
    </row>
    <row r="68" spans="1:16" ht="15.6" customHeight="1" x14ac:dyDescent="0.3">
      <c r="A68" s="207">
        <v>1</v>
      </c>
      <c r="B68" s="204" t="s">
        <v>74</v>
      </c>
      <c r="C68" s="204" t="s">
        <v>75</v>
      </c>
      <c r="D68" s="205">
        <v>525</v>
      </c>
      <c r="E68" s="207"/>
      <c r="F68" s="195">
        <v>300</v>
      </c>
      <c r="G68" s="195"/>
      <c r="H68" s="195"/>
      <c r="I68" s="195">
        <v>800</v>
      </c>
      <c r="J68" s="195"/>
      <c r="K68" s="195"/>
      <c r="L68" s="195"/>
      <c r="M68" s="195"/>
      <c r="N68" s="195">
        <f t="shared" si="2"/>
        <v>1100</v>
      </c>
      <c r="O68" s="66">
        <f t="shared" si="3"/>
        <v>575</v>
      </c>
      <c r="P68" s="141">
        <v>500</v>
      </c>
    </row>
    <row r="69" spans="1:16" ht="15.6" customHeight="1" x14ac:dyDescent="0.3">
      <c r="A69" s="207">
        <v>1</v>
      </c>
      <c r="B69" s="204" t="s">
        <v>76</v>
      </c>
      <c r="C69" s="204" t="s">
        <v>77</v>
      </c>
      <c r="D69" s="205">
        <v>525</v>
      </c>
      <c r="E69" s="207"/>
      <c r="F69" s="195">
        <v>600</v>
      </c>
      <c r="G69" s="195"/>
      <c r="H69" s="195"/>
      <c r="I69" s="195"/>
      <c r="J69" s="195"/>
      <c r="K69" s="195"/>
      <c r="L69" s="195"/>
      <c r="M69" s="195"/>
      <c r="N69" s="195">
        <f t="shared" si="2"/>
        <v>600</v>
      </c>
      <c r="O69" s="66">
        <f t="shared" si="3"/>
        <v>75</v>
      </c>
      <c r="P69" s="141"/>
    </row>
    <row r="70" spans="1:16" ht="15.6" customHeight="1" x14ac:dyDescent="0.3">
      <c r="A70" s="207">
        <v>1</v>
      </c>
      <c r="B70" s="204" t="s">
        <v>78</v>
      </c>
      <c r="C70" s="204" t="s">
        <v>79</v>
      </c>
      <c r="D70" s="205">
        <v>525</v>
      </c>
      <c r="E70" s="207"/>
      <c r="F70" s="195">
        <v>300</v>
      </c>
      <c r="G70" s="195">
        <v>300</v>
      </c>
      <c r="H70" s="195"/>
      <c r="I70" s="195"/>
      <c r="J70" s="195"/>
      <c r="K70" s="195"/>
      <c r="L70" s="195"/>
      <c r="M70" s="195"/>
      <c r="N70" s="195">
        <f t="shared" si="2"/>
        <v>600</v>
      </c>
      <c r="O70" s="66">
        <f t="shared" si="3"/>
        <v>75</v>
      </c>
      <c r="P70" s="141"/>
    </row>
    <row r="71" spans="1:16" ht="15.6" customHeight="1" x14ac:dyDescent="0.3">
      <c r="A71" s="207">
        <v>1</v>
      </c>
      <c r="B71" s="204" t="s">
        <v>80</v>
      </c>
      <c r="C71" s="204" t="s">
        <v>81</v>
      </c>
      <c r="D71" s="205">
        <v>525</v>
      </c>
      <c r="E71" s="207"/>
      <c r="F71" s="195"/>
      <c r="G71" s="195">
        <v>600</v>
      </c>
      <c r="H71" s="195"/>
      <c r="I71" s="195"/>
      <c r="J71" s="195"/>
      <c r="K71" s="195"/>
      <c r="L71" s="195"/>
      <c r="M71" s="195"/>
      <c r="N71" s="195">
        <f t="shared" si="2"/>
        <v>600</v>
      </c>
      <c r="O71" s="66">
        <f t="shared" si="3"/>
        <v>75</v>
      </c>
      <c r="P71" s="141"/>
    </row>
    <row r="72" spans="1:16" ht="15.6" customHeight="1" x14ac:dyDescent="0.3">
      <c r="A72" s="207">
        <v>1</v>
      </c>
      <c r="B72" s="204" t="s">
        <v>80</v>
      </c>
      <c r="C72" s="204" t="s">
        <v>82</v>
      </c>
      <c r="D72" s="205">
        <v>525</v>
      </c>
      <c r="E72" s="207"/>
      <c r="F72" s="195"/>
      <c r="G72" s="195">
        <v>600</v>
      </c>
      <c r="H72" s="195"/>
      <c r="I72" s="195"/>
      <c r="J72" s="195"/>
      <c r="K72" s="195"/>
      <c r="L72" s="195"/>
      <c r="M72" s="195"/>
      <c r="N72" s="195">
        <f t="shared" si="2"/>
        <v>600</v>
      </c>
      <c r="O72" s="66">
        <f t="shared" si="3"/>
        <v>75</v>
      </c>
      <c r="P72" s="141"/>
    </row>
    <row r="73" spans="1:16" ht="15.6" customHeight="1" x14ac:dyDescent="0.3">
      <c r="A73" s="207">
        <v>1</v>
      </c>
      <c r="B73" s="204" t="s">
        <v>83</v>
      </c>
      <c r="C73" s="205" t="s">
        <v>84</v>
      </c>
      <c r="D73" s="205">
        <v>525</v>
      </c>
      <c r="E73" s="207"/>
      <c r="F73" s="195">
        <v>100</v>
      </c>
      <c r="G73" s="195"/>
      <c r="H73" s="195"/>
      <c r="I73" s="195"/>
      <c r="J73" s="195">
        <v>600</v>
      </c>
      <c r="K73" s="195"/>
      <c r="L73" s="195"/>
      <c r="M73" s="195"/>
      <c r="N73" s="195">
        <f t="shared" si="2"/>
        <v>700</v>
      </c>
      <c r="O73" s="66">
        <f t="shared" si="3"/>
        <v>175</v>
      </c>
      <c r="P73" s="141">
        <v>100</v>
      </c>
    </row>
    <row r="74" spans="1:16" ht="15.6" customHeight="1" x14ac:dyDescent="0.3">
      <c r="A74" s="207">
        <v>1</v>
      </c>
      <c r="B74" s="204" t="s">
        <v>175</v>
      </c>
      <c r="C74" s="204" t="s">
        <v>85</v>
      </c>
      <c r="D74" s="205">
        <v>525</v>
      </c>
      <c r="E74" s="207"/>
      <c r="F74" s="195"/>
      <c r="G74" s="195">
        <v>600</v>
      </c>
      <c r="H74" s="195"/>
      <c r="I74" s="195"/>
      <c r="J74" s="195">
        <v>50</v>
      </c>
      <c r="K74" s="195"/>
      <c r="L74" s="195"/>
      <c r="M74" s="195"/>
      <c r="N74" s="206">
        <f t="shared" si="2"/>
        <v>650</v>
      </c>
      <c r="O74" s="66">
        <f t="shared" si="3"/>
        <v>125</v>
      </c>
      <c r="P74" s="141">
        <v>50</v>
      </c>
    </row>
    <row r="75" spans="1:16" ht="15.6" customHeight="1" x14ac:dyDescent="0.3">
      <c r="A75" s="207">
        <v>1</v>
      </c>
      <c r="B75" s="204" t="s">
        <v>86</v>
      </c>
      <c r="C75" s="204" t="s">
        <v>87</v>
      </c>
      <c r="D75" s="205">
        <v>525</v>
      </c>
      <c r="E75" s="207"/>
      <c r="F75" s="195">
        <v>600</v>
      </c>
      <c r="G75" s="195"/>
      <c r="H75" s="195"/>
      <c r="I75" s="195"/>
      <c r="J75" s="195">
        <v>100</v>
      </c>
      <c r="K75" s="195"/>
      <c r="L75" s="195"/>
      <c r="M75" s="195"/>
      <c r="N75" s="206">
        <f t="shared" si="2"/>
        <v>700</v>
      </c>
      <c r="O75" s="66">
        <f t="shared" si="3"/>
        <v>175</v>
      </c>
      <c r="P75" s="141">
        <v>100</v>
      </c>
    </row>
    <row r="76" spans="1:16" ht="15.6" customHeight="1" x14ac:dyDescent="0.3">
      <c r="A76" s="93">
        <v>1</v>
      </c>
      <c r="B76" s="94" t="s">
        <v>88</v>
      </c>
      <c r="C76" s="94" t="s">
        <v>89</v>
      </c>
      <c r="D76" s="139">
        <v>525</v>
      </c>
      <c r="E76" s="93"/>
      <c r="F76" s="92"/>
      <c r="G76" s="92"/>
      <c r="H76" s="92"/>
      <c r="I76" s="92"/>
      <c r="J76" s="92">
        <v>300</v>
      </c>
      <c r="K76" s="92"/>
      <c r="L76" s="92"/>
      <c r="M76" s="92"/>
      <c r="N76" s="92">
        <f t="shared" si="2"/>
        <v>300</v>
      </c>
      <c r="O76" s="141">
        <f t="shared" si="3"/>
        <v>-225</v>
      </c>
      <c r="P76" s="141"/>
    </row>
    <row r="77" spans="1:16" ht="25.9" customHeight="1" x14ac:dyDescent="0.3">
      <c r="A77" s="207">
        <v>1</v>
      </c>
      <c r="B77" s="208" t="s">
        <v>37</v>
      </c>
      <c r="C77" s="209" t="s">
        <v>271</v>
      </c>
      <c r="D77" s="205">
        <v>525</v>
      </c>
      <c r="E77" s="207"/>
      <c r="F77" s="195"/>
      <c r="G77" s="195"/>
      <c r="H77" s="195"/>
      <c r="I77" s="195"/>
      <c r="J77" s="195">
        <v>600</v>
      </c>
      <c r="K77" s="195"/>
      <c r="L77" s="195"/>
      <c r="M77" s="195"/>
      <c r="N77" s="206">
        <f t="shared" si="2"/>
        <v>600</v>
      </c>
      <c r="O77" s="66">
        <f t="shared" si="3"/>
        <v>75</v>
      </c>
      <c r="P77" s="141"/>
    </row>
    <row r="78" spans="1:16" ht="15.6" customHeight="1" x14ac:dyDescent="0.3">
      <c r="A78" s="93">
        <v>1</v>
      </c>
      <c r="B78" s="94" t="s">
        <v>340</v>
      </c>
      <c r="C78" s="103" t="s">
        <v>294</v>
      </c>
      <c r="D78" s="139">
        <v>525</v>
      </c>
      <c r="E78" s="93"/>
      <c r="F78" s="92"/>
      <c r="G78" s="92"/>
      <c r="H78" s="92"/>
      <c r="I78" s="92">
        <v>200</v>
      </c>
      <c r="J78" s="92"/>
      <c r="K78" s="92"/>
      <c r="L78" s="92"/>
      <c r="M78" s="92">
        <v>200</v>
      </c>
      <c r="N78" s="185">
        <f t="shared" si="2"/>
        <v>200</v>
      </c>
      <c r="O78" s="141">
        <f t="shared" si="3"/>
        <v>-325</v>
      </c>
      <c r="P78" s="141"/>
    </row>
    <row r="79" spans="1:16" ht="15.6" customHeight="1" x14ac:dyDescent="0.3">
      <c r="A79" s="133">
        <v>1</v>
      </c>
      <c r="B79" s="103" t="s">
        <v>382</v>
      </c>
      <c r="C79" s="103" t="s">
        <v>383</v>
      </c>
      <c r="D79" s="139">
        <v>525</v>
      </c>
      <c r="E79" s="133"/>
      <c r="F79" s="185"/>
      <c r="G79" s="185">
        <v>300</v>
      </c>
      <c r="H79" s="185"/>
      <c r="I79" s="185"/>
      <c r="J79" s="185"/>
      <c r="K79" s="185"/>
      <c r="L79" s="185"/>
      <c r="M79" s="185"/>
      <c r="N79" s="185">
        <f t="shared" si="2"/>
        <v>300</v>
      </c>
      <c r="O79" s="141">
        <f t="shared" si="3"/>
        <v>-225</v>
      </c>
      <c r="P79" s="141"/>
    </row>
    <row r="80" spans="1:16" ht="15.6" customHeight="1" x14ac:dyDescent="0.3">
      <c r="A80" s="133">
        <v>1</v>
      </c>
      <c r="B80" s="103" t="s">
        <v>448</v>
      </c>
      <c r="C80" s="103" t="s">
        <v>449</v>
      </c>
      <c r="D80" s="139">
        <v>525</v>
      </c>
      <c r="E80" s="133"/>
      <c r="F80" s="185"/>
      <c r="G80" s="185"/>
      <c r="H80" s="185"/>
      <c r="I80" s="185"/>
      <c r="J80" s="185"/>
      <c r="K80" s="185"/>
      <c r="L80" s="185"/>
      <c r="M80" s="185">
        <v>300</v>
      </c>
      <c r="N80" s="185">
        <f t="shared" si="2"/>
        <v>0</v>
      </c>
      <c r="O80" s="141">
        <f t="shared" si="3"/>
        <v>-525</v>
      </c>
      <c r="P80" s="141"/>
    </row>
    <row r="81" spans="1:16" ht="15.6" customHeight="1" x14ac:dyDescent="0.3">
      <c r="A81" s="59">
        <v>1</v>
      </c>
      <c r="B81" s="208" t="s">
        <v>479</v>
      </c>
      <c r="C81" s="208" t="s">
        <v>476</v>
      </c>
      <c r="D81" s="205">
        <v>525</v>
      </c>
      <c r="E81" s="59"/>
      <c r="F81" s="206"/>
      <c r="G81" s="206"/>
      <c r="H81" s="206"/>
      <c r="I81" s="206"/>
      <c r="J81" s="206">
        <v>600</v>
      </c>
      <c r="K81" s="206"/>
      <c r="L81" s="206"/>
      <c r="M81" s="206"/>
      <c r="N81" s="206">
        <f t="shared" si="2"/>
        <v>600</v>
      </c>
      <c r="O81" s="66">
        <f t="shared" si="3"/>
        <v>75</v>
      </c>
      <c r="P81" s="141"/>
    </row>
    <row r="82" spans="1:16" ht="15.6" customHeight="1" x14ac:dyDescent="0.3">
      <c r="A82" s="222">
        <f>SUM(A54:A81)</f>
        <v>28</v>
      </c>
      <c r="B82" s="220"/>
      <c r="C82" s="220"/>
      <c r="D82" s="220">
        <f>SUM(D54:D81)</f>
        <v>14700</v>
      </c>
      <c r="E82" s="193">
        <f>SUM(E54:E76)</f>
        <v>1300</v>
      </c>
      <c r="F82" s="193">
        <f>SUM(F54:F76)</f>
        <v>5700</v>
      </c>
      <c r="G82" s="193">
        <f>SUM(G54:G79)</f>
        <v>3000</v>
      </c>
      <c r="H82" s="193">
        <f>SUM(H54:H79)</f>
        <v>0</v>
      </c>
      <c r="I82" s="193">
        <f>SUM(I54:I79)</f>
        <v>1000</v>
      </c>
      <c r="J82" s="193">
        <f>SUM(J54:J81)</f>
        <v>4600</v>
      </c>
      <c r="K82" s="193">
        <f>SUM(K54:K81)</f>
        <v>0</v>
      </c>
      <c r="L82" s="193">
        <f>SUM(L54:L81)</f>
        <v>600</v>
      </c>
      <c r="M82" s="193">
        <f>SUM(M54:M81)</f>
        <v>500</v>
      </c>
      <c r="N82" s="193">
        <f>SUM(E82:J82)</f>
        <v>15600</v>
      </c>
      <c r="O82" s="144"/>
      <c r="P82" s="144">
        <f>SUM(P54:P81)</f>
        <v>1100</v>
      </c>
    </row>
    <row r="83" spans="1:16" ht="15.6" customHeight="1" x14ac:dyDescent="0.3">
      <c r="A83" s="146"/>
      <c r="B83" s="142"/>
      <c r="C83" s="142"/>
      <c r="D83" s="142"/>
      <c r="E83" s="144"/>
      <c r="F83" s="144"/>
      <c r="G83" s="141"/>
      <c r="H83" s="141"/>
      <c r="I83" s="141"/>
      <c r="J83" s="141"/>
      <c r="K83" s="141"/>
      <c r="L83" s="141"/>
      <c r="M83" s="141"/>
      <c r="N83" s="141"/>
      <c r="O83" s="141"/>
      <c r="P83" s="141"/>
    </row>
    <row r="84" spans="1:16" ht="15.6" customHeight="1" x14ac:dyDescent="0.3">
      <c r="A84" s="146"/>
      <c r="B84" s="142"/>
      <c r="C84" s="142"/>
      <c r="D84" s="142"/>
      <c r="E84" s="144"/>
      <c r="F84" s="144"/>
      <c r="G84" s="141"/>
      <c r="H84" s="141"/>
      <c r="I84" s="141"/>
      <c r="J84" s="141"/>
      <c r="K84" s="141"/>
      <c r="L84" s="141"/>
      <c r="M84" s="141"/>
      <c r="N84" s="141"/>
      <c r="O84" s="141"/>
      <c r="P84" s="141"/>
    </row>
    <row r="85" spans="1:16" ht="15.6" customHeight="1" x14ac:dyDescent="0.3">
      <c r="A85" s="146"/>
      <c r="B85" s="142"/>
      <c r="C85" s="142"/>
      <c r="D85" s="142"/>
      <c r="E85" s="144"/>
      <c r="F85" s="144"/>
      <c r="G85" s="141"/>
      <c r="H85" s="141"/>
      <c r="I85" s="141"/>
      <c r="J85" s="141"/>
      <c r="K85" s="141"/>
      <c r="L85" s="141"/>
      <c r="M85" s="141"/>
      <c r="N85" s="141"/>
      <c r="O85" s="141"/>
      <c r="P85" s="141"/>
    </row>
    <row r="86" spans="1:16" ht="15.6" customHeight="1" x14ac:dyDescent="0.3">
      <c r="A86" s="146"/>
      <c r="B86" s="142"/>
      <c r="C86" s="142"/>
      <c r="D86" s="142"/>
      <c r="E86" s="144"/>
      <c r="F86" s="144"/>
      <c r="G86" s="141"/>
      <c r="H86" s="141"/>
      <c r="I86" s="141"/>
      <c r="J86" s="141"/>
      <c r="K86" s="141"/>
      <c r="L86" s="141"/>
      <c r="M86" s="141"/>
      <c r="N86" s="141"/>
      <c r="O86" s="141"/>
      <c r="P86" s="141"/>
    </row>
    <row r="87" spans="1:16" ht="15.6" customHeight="1" x14ac:dyDescent="0.3">
      <c r="A87" s="146"/>
      <c r="B87" s="142"/>
      <c r="C87" s="142"/>
      <c r="D87" s="142"/>
      <c r="E87" s="144"/>
      <c r="F87" s="144"/>
      <c r="G87" s="141"/>
      <c r="H87" s="141"/>
      <c r="I87" s="141"/>
      <c r="J87" s="141"/>
      <c r="K87" s="141"/>
      <c r="L87" s="141"/>
      <c r="M87" s="141"/>
      <c r="N87" s="141"/>
      <c r="O87" s="141"/>
      <c r="P87" s="141"/>
    </row>
    <row r="88" spans="1:16" ht="15.6" customHeight="1" x14ac:dyDescent="0.3">
      <c r="A88" s="146"/>
      <c r="B88" s="142"/>
      <c r="C88" s="142"/>
      <c r="D88" s="142"/>
      <c r="E88" s="144"/>
      <c r="F88" s="144"/>
      <c r="G88" s="141"/>
      <c r="H88" s="141"/>
      <c r="I88" s="141"/>
      <c r="J88" s="141"/>
      <c r="K88" s="141"/>
      <c r="L88" s="141"/>
      <c r="M88" s="141"/>
      <c r="N88" s="141"/>
      <c r="O88" s="141"/>
      <c r="P88" s="141"/>
    </row>
    <row r="89" spans="1:16" ht="15.6" customHeight="1" x14ac:dyDescent="0.3">
      <c r="A89" s="146"/>
      <c r="B89" s="142"/>
      <c r="C89" s="142"/>
      <c r="D89" s="142"/>
      <c r="E89" s="144"/>
      <c r="F89" s="144"/>
      <c r="G89" s="141"/>
      <c r="H89" s="141"/>
      <c r="I89" s="141"/>
      <c r="J89" s="141"/>
      <c r="K89" s="141"/>
      <c r="L89" s="141"/>
      <c r="M89" s="141"/>
      <c r="N89" s="141"/>
      <c r="O89" s="141"/>
      <c r="P89" s="141"/>
    </row>
    <row r="90" spans="1:16" ht="15.6" customHeight="1" x14ac:dyDescent="0.3">
      <c r="A90" s="146"/>
      <c r="B90" s="142"/>
      <c r="C90" s="142"/>
      <c r="D90" s="142"/>
      <c r="E90" s="144"/>
      <c r="F90" s="144"/>
      <c r="G90" s="141"/>
      <c r="H90" s="141"/>
      <c r="I90" s="141"/>
      <c r="J90" s="141"/>
      <c r="K90" s="141"/>
      <c r="L90" s="141"/>
      <c r="M90" s="141"/>
      <c r="N90" s="141"/>
      <c r="O90" s="141"/>
      <c r="P90" s="141"/>
    </row>
    <row r="91" spans="1:16" ht="15.6" customHeight="1" x14ac:dyDescent="0.3">
      <c r="A91" s="146"/>
      <c r="B91" s="142"/>
      <c r="C91" s="142"/>
      <c r="D91" s="142"/>
      <c r="E91" s="144"/>
      <c r="F91" s="144"/>
      <c r="G91" s="141"/>
      <c r="H91" s="141"/>
      <c r="I91" s="141"/>
      <c r="J91" s="141"/>
      <c r="K91" s="141"/>
      <c r="L91" s="141"/>
      <c r="M91" s="141"/>
      <c r="N91" s="141"/>
      <c r="O91" s="141"/>
      <c r="P91" s="141"/>
    </row>
    <row r="92" spans="1:16" ht="15.6" customHeight="1" x14ac:dyDescent="0.3">
      <c r="A92" s="146"/>
      <c r="B92" s="142"/>
      <c r="C92" s="142"/>
      <c r="D92" s="142"/>
      <c r="E92" s="144"/>
      <c r="F92" s="144"/>
      <c r="G92" s="141"/>
      <c r="H92" s="141"/>
      <c r="I92" s="141"/>
      <c r="J92" s="141"/>
      <c r="K92" s="141"/>
      <c r="L92" s="141"/>
      <c r="M92" s="141"/>
      <c r="N92" s="141"/>
      <c r="O92" s="141"/>
      <c r="P92" s="141"/>
    </row>
    <row r="93" spans="1:16" ht="15.6" customHeight="1" x14ac:dyDescent="0.3">
      <c r="A93" s="146"/>
      <c r="B93" s="142"/>
      <c r="C93" s="142"/>
      <c r="D93" s="142"/>
      <c r="E93" s="144"/>
      <c r="F93" s="144"/>
      <c r="G93" s="141"/>
      <c r="H93" s="141"/>
      <c r="I93" s="141"/>
      <c r="J93" s="141"/>
      <c r="K93" s="141"/>
      <c r="L93" s="141"/>
      <c r="M93" s="141"/>
      <c r="N93" s="141"/>
      <c r="O93" s="141"/>
      <c r="P93" s="141"/>
    </row>
    <row r="94" spans="1:16" ht="15.6" customHeight="1" x14ac:dyDescent="0.3">
      <c r="A94" s="146"/>
      <c r="B94" s="142"/>
      <c r="C94" s="142"/>
      <c r="D94" s="142"/>
      <c r="E94" s="144"/>
      <c r="F94" s="144"/>
      <c r="G94" s="141"/>
      <c r="H94" s="141"/>
      <c r="I94" s="141"/>
      <c r="J94" s="141"/>
      <c r="K94" s="141"/>
      <c r="L94" s="141"/>
      <c r="M94" s="141"/>
      <c r="N94" s="141"/>
      <c r="O94" s="141"/>
      <c r="P94" s="141"/>
    </row>
    <row r="95" spans="1:16" ht="15.6" customHeight="1" x14ac:dyDescent="0.3">
      <c r="A95" s="146"/>
      <c r="B95" s="142"/>
      <c r="C95" s="142"/>
      <c r="D95" s="142"/>
      <c r="E95" s="144"/>
      <c r="F95" s="144"/>
      <c r="G95" s="141"/>
      <c r="H95" s="141"/>
      <c r="I95" s="141"/>
      <c r="J95" s="141"/>
      <c r="K95" s="141"/>
      <c r="L95" s="141"/>
      <c r="M95" s="141"/>
      <c r="N95" s="141"/>
      <c r="O95" s="141"/>
      <c r="P95" s="141"/>
    </row>
    <row r="96" spans="1:16" ht="15.6" customHeight="1" x14ac:dyDescent="0.3">
      <c r="A96" s="146"/>
      <c r="B96" s="142"/>
      <c r="C96" s="142"/>
      <c r="D96" s="142"/>
      <c r="E96" s="144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</row>
    <row r="97" spans="1:16" x14ac:dyDescent="0.3">
      <c r="A97" s="144" t="s">
        <v>238</v>
      </c>
      <c r="B97" s="143"/>
      <c r="C97" s="143"/>
      <c r="D97" s="143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</row>
    <row r="98" spans="1:16" ht="45" x14ac:dyDescent="0.3">
      <c r="A98" s="145" t="s">
        <v>48</v>
      </c>
      <c r="B98" s="145" t="s">
        <v>40</v>
      </c>
      <c r="C98" s="145" t="s">
        <v>41</v>
      </c>
      <c r="D98" s="145" t="s">
        <v>483</v>
      </c>
      <c r="E98" s="155" t="s">
        <v>346</v>
      </c>
      <c r="F98" s="155" t="s">
        <v>355</v>
      </c>
      <c r="G98" s="155" t="s">
        <v>390</v>
      </c>
      <c r="H98" s="155" t="s">
        <v>395</v>
      </c>
      <c r="I98" s="155" t="s">
        <v>425</v>
      </c>
      <c r="J98" s="155" t="s">
        <v>431</v>
      </c>
      <c r="K98" s="155"/>
      <c r="L98" s="155"/>
      <c r="M98" s="155"/>
      <c r="N98" s="190" t="s">
        <v>169</v>
      </c>
      <c r="O98" s="141" t="s">
        <v>488</v>
      </c>
      <c r="P98" s="141" t="s">
        <v>487</v>
      </c>
    </row>
    <row r="99" spans="1:16" ht="15.6" customHeight="1" x14ac:dyDescent="0.3">
      <c r="A99" s="207">
        <v>1</v>
      </c>
      <c r="B99" s="204" t="s">
        <v>92</v>
      </c>
      <c r="C99" s="204" t="s">
        <v>93</v>
      </c>
      <c r="D99" s="204">
        <v>525</v>
      </c>
      <c r="E99" s="59"/>
      <c r="F99" s="206">
        <v>1100</v>
      </c>
      <c r="G99" s="206"/>
      <c r="H99" s="206"/>
      <c r="I99" s="206"/>
      <c r="J99" s="206"/>
      <c r="K99" s="206"/>
      <c r="L99" s="206"/>
      <c r="M99" s="206"/>
      <c r="N99" s="206">
        <f>SUM(E99:L99)</f>
        <v>1100</v>
      </c>
      <c r="O99" s="66">
        <f>N99-D99</f>
        <v>575</v>
      </c>
      <c r="P99" s="141">
        <v>500</v>
      </c>
    </row>
    <row r="100" spans="1:16" ht="15.6" customHeight="1" x14ac:dyDescent="0.3">
      <c r="A100" s="93"/>
      <c r="B100" s="94" t="s">
        <v>94</v>
      </c>
      <c r="C100" s="94" t="s">
        <v>380</v>
      </c>
      <c r="D100" s="94">
        <v>525</v>
      </c>
      <c r="E100" s="133"/>
      <c r="F100" s="185"/>
      <c r="G100" s="185">
        <v>300</v>
      </c>
      <c r="H100" s="185"/>
      <c r="I100" s="185"/>
      <c r="J100" s="185"/>
      <c r="K100" s="185"/>
      <c r="L100" s="185"/>
      <c r="M100" s="185"/>
      <c r="N100" s="206">
        <f t="shared" ref="N100:N117" si="4">SUM(E100:L100)</f>
        <v>300</v>
      </c>
      <c r="O100" s="141">
        <f t="shared" ref="O100:O117" si="5">N100-D100</f>
        <v>-225</v>
      </c>
      <c r="P100" s="141"/>
    </row>
    <row r="101" spans="1:16" ht="15.6" customHeight="1" x14ac:dyDescent="0.3">
      <c r="A101" s="207">
        <v>1</v>
      </c>
      <c r="B101" s="204" t="s">
        <v>95</v>
      </c>
      <c r="C101" s="204" t="s">
        <v>96</v>
      </c>
      <c r="D101" s="204">
        <v>525</v>
      </c>
      <c r="E101" s="59"/>
      <c r="F101" s="206">
        <v>500</v>
      </c>
      <c r="G101" s="206">
        <v>300</v>
      </c>
      <c r="H101" s="206"/>
      <c r="I101" s="206"/>
      <c r="J101" s="206"/>
      <c r="K101" s="206"/>
      <c r="L101" s="206"/>
      <c r="M101" s="206"/>
      <c r="N101" s="206">
        <f t="shared" si="4"/>
        <v>800</v>
      </c>
      <c r="O101" s="66">
        <f t="shared" si="5"/>
        <v>275</v>
      </c>
      <c r="P101" s="141">
        <v>200</v>
      </c>
    </row>
    <row r="102" spans="1:16" ht="15.6" customHeight="1" x14ac:dyDescent="0.3">
      <c r="A102" s="207">
        <v>1</v>
      </c>
      <c r="B102" s="204" t="s">
        <v>61</v>
      </c>
      <c r="C102" s="204" t="s">
        <v>62</v>
      </c>
      <c r="D102" s="204">
        <v>525</v>
      </c>
      <c r="E102" s="59"/>
      <c r="F102" s="206">
        <v>800</v>
      </c>
      <c r="G102" s="206"/>
      <c r="H102" s="206"/>
      <c r="I102" s="206"/>
      <c r="J102" s="206"/>
      <c r="K102" s="206"/>
      <c r="L102" s="206"/>
      <c r="M102" s="206"/>
      <c r="N102" s="206">
        <f t="shared" si="4"/>
        <v>800</v>
      </c>
      <c r="O102" s="66">
        <f t="shared" si="5"/>
        <v>275</v>
      </c>
      <c r="P102" s="141">
        <v>200</v>
      </c>
    </row>
    <row r="103" spans="1:16" ht="15.6" customHeight="1" x14ac:dyDescent="0.3">
      <c r="A103" s="93">
        <v>1</v>
      </c>
      <c r="B103" s="94" t="s">
        <v>97</v>
      </c>
      <c r="C103" s="94" t="s">
        <v>98</v>
      </c>
      <c r="D103" s="94">
        <v>525</v>
      </c>
      <c r="E103" s="133"/>
      <c r="F103" s="185"/>
      <c r="G103" s="185">
        <v>150</v>
      </c>
      <c r="H103" s="185"/>
      <c r="I103" s="185"/>
      <c r="J103" s="185"/>
      <c r="K103" s="185"/>
      <c r="L103" s="185"/>
      <c r="M103" s="185"/>
      <c r="N103" s="206">
        <f t="shared" si="4"/>
        <v>150</v>
      </c>
      <c r="O103" s="141">
        <f t="shared" si="5"/>
        <v>-375</v>
      </c>
      <c r="P103" s="141"/>
    </row>
    <row r="104" spans="1:16" ht="15.6" customHeight="1" x14ac:dyDescent="0.3">
      <c r="A104" s="93">
        <v>1</v>
      </c>
      <c r="B104" s="94" t="s">
        <v>101</v>
      </c>
      <c r="C104" s="94" t="s">
        <v>102</v>
      </c>
      <c r="D104" s="94">
        <v>525</v>
      </c>
      <c r="E104" s="93"/>
      <c r="F104" s="92"/>
      <c r="G104" s="92"/>
      <c r="H104" s="92"/>
      <c r="I104" s="92"/>
      <c r="J104" s="92"/>
      <c r="K104" s="92"/>
      <c r="L104" s="92"/>
      <c r="M104" s="92"/>
      <c r="N104" s="206">
        <f t="shared" si="4"/>
        <v>0</v>
      </c>
      <c r="O104" s="141">
        <f t="shared" si="5"/>
        <v>-525</v>
      </c>
      <c r="P104" s="141"/>
    </row>
    <row r="105" spans="1:16" ht="15.6" customHeight="1" x14ac:dyDescent="0.3">
      <c r="A105" s="93">
        <v>1</v>
      </c>
      <c r="B105" s="94" t="s">
        <v>103</v>
      </c>
      <c r="C105" s="94" t="s">
        <v>104</v>
      </c>
      <c r="D105" s="94">
        <v>525</v>
      </c>
      <c r="E105" s="93"/>
      <c r="F105" s="92">
        <v>200</v>
      </c>
      <c r="G105" s="92"/>
      <c r="H105" s="92">
        <v>200</v>
      </c>
      <c r="I105" s="92"/>
      <c r="J105" s="92"/>
      <c r="K105" s="92"/>
      <c r="L105" s="92"/>
      <c r="M105" s="92"/>
      <c r="N105" s="206">
        <f t="shared" si="4"/>
        <v>400</v>
      </c>
      <c r="O105" s="141">
        <f t="shared" si="5"/>
        <v>-125</v>
      </c>
      <c r="P105" s="141"/>
    </row>
    <row r="106" spans="1:16" ht="15.6" customHeight="1" x14ac:dyDescent="0.3">
      <c r="A106" s="93">
        <v>1</v>
      </c>
      <c r="B106" s="94" t="s">
        <v>105</v>
      </c>
      <c r="C106" s="94" t="s">
        <v>106</v>
      </c>
      <c r="D106" s="94">
        <v>525</v>
      </c>
      <c r="E106" s="93"/>
      <c r="F106" s="92"/>
      <c r="G106" s="92"/>
      <c r="H106" s="92"/>
      <c r="I106" s="92"/>
      <c r="J106" s="92">
        <v>400</v>
      </c>
      <c r="K106" s="92"/>
      <c r="L106" s="92"/>
      <c r="M106" s="92"/>
      <c r="N106" s="206">
        <f t="shared" si="4"/>
        <v>400</v>
      </c>
      <c r="O106" s="141">
        <f t="shared" si="5"/>
        <v>-125</v>
      </c>
      <c r="P106" s="141"/>
    </row>
    <row r="107" spans="1:16" ht="15.6" customHeight="1" x14ac:dyDescent="0.3">
      <c r="A107" s="93">
        <v>1</v>
      </c>
      <c r="B107" s="94" t="s">
        <v>341</v>
      </c>
      <c r="C107" s="94" t="s">
        <v>107</v>
      </c>
      <c r="D107" s="94">
        <v>525</v>
      </c>
      <c r="E107" s="93"/>
      <c r="F107" s="92"/>
      <c r="G107" s="92"/>
      <c r="H107" s="92"/>
      <c r="I107" s="92"/>
      <c r="J107" s="92"/>
      <c r="K107" s="92"/>
      <c r="L107" s="92"/>
      <c r="M107" s="92"/>
      <c r="N107" s="206">
        <f t="shared" si="4"/>
        <v>0</v>
      </c>
      <c r="O107" s="141">
        <f t="shared" si="5"/>
        <v>-525</v>
      </c>
      <c r="P107" s="141"/>
    </row>
    <row r="108" spans="1:16" ht="15.6" customHeight="1" x14ac:dyDescent="0.3">
      <c r="A108" s="93">
        <v>1</v>
      </c>
      <c r="B108" s="94" t="s">
        <v>108</v>
      </c>
      <c r="C108" s="94" t="s">
        <v>109</v>
      </c>
      <c r="D108" s="94">
        <v>525</v>
      </c>
      <c r="E108" s="133"/>
      <c r="F108" s="185">
        <v>250</v>
      </c>
      <c r="G108" s="185"/>
      <c r="H108" s="185"/>
      <c r="I108" s="185"/>
      <c r="J108" s="185"/>
      <c r="K108" s="185">
        <v>350</v>
      </c>
      <c r="L108" s="185"/>
      <c r="M108" s="185"/>
      <c r="N108" s="206">
        <f t="shared" si="4"/>
        <v>600</v>
      </c>
      <c r="O108" s="141">
        <f t="shared" si="5"/>
        <v>75</v>
      </c>
      <c r="P108" s="141"/>
    </row>
    <row r="109" spans="1:16" ht="15.6" customHeight="1" x14ac:dyDescent="0.3">
      <c r="A109" s="207">
        <v>1</v>
      </c>
      <c r="B109" s="204" t="s">
        <v>110</v>
      </c>
      <c r="C109" s="204" t="s">
        <v>111</v>
      </c>
      <c r="D109" s="204">
        <v>525</v>
      </c>
      <c r="E109" s="59"/>
      <c r="F109" s="206"/>
      <c r="G109" s="206">
        <v>600</v>
      </c>
      <c r="H109" s="206"/>
      <c r="I109" s="206"/>
      <c r="J109" s="206"/>
      <c r="K109" s="206"/>
      <c r="L109" s="206"/>
      <c r="M109" s="206"/>
      <c r="N109" s="206">
        <f t="shared" si="4"/>
        <v>600</v>
      </c>
      <c r="O109" s="66">
        <f t="shared" si="5"/>
        <v>75</v>
      </c>
      <c r="P109" s="141"/>
    </row>
    <row r="110" spans="1:16" ht="15.6" customHeight="1" x14ac:dyDescent="0.3">
      <c r="A110" s="93">
        <v>1</v>
      </c>
      <c r="B110" s="94" t="s">
        <v>112</v>
      </c>
      <c r="C110" s="94" t="s">
        <v>113</v>
      </c>
      <c r="D110" s="94">
        <v>525</v>
      </c>
      <c r="E110" s="133"/>
      <c r="F110" s="185"/>
      <c r="G110" s="185"/>
      <c r="H110" s="185"/>
      <c r="I110" s="185"/>
      <c r="J110" s="185">
        <v>400</v>
      </c>
      <c r="K110" s="185"/>
      <c r="L110" s="185">
        <v>200</v>
      </c>
      <c r="M110" s="185"/>
      <c r="N110" s="206">
        <f t="shared" si="4"/>
        <v>600</v>
      </c>
      <c r="O110" s="141">
        <f t="shared" si="5"/>
        <v>75</v>
      </c>
      <c r="P110" s="141"/>
    </row>
    <row r="111" spans="1:16" ht="15.6" customHeight="1" x14ac:dyDescent="0.3">
      <c r="A111" s="207">
        <v>1</v>
      </c>
      <c r="B111" s="204" t="s">
        <v>114</v>
      </c>
      <c r="C111" s="204" t="s">
        <v>115</v>
      </c>
      <c r="D111" s="204">
        <v>525</v>
      </c>
      <c r="E111" s="59"/>
      <c r="F111" s="206">
        <v>200</v>
      </c>
      <c r="G111" s="206"/>
      <c r="H111" s="206"/>
      <c r="I111" s="206"/>
      <c r="J111" s="206">
        <v>400</v>
      </c>
      <c r="K111" s="206"/>
      <c r="L111" s="206"/>
      <c r="M111" s="206"/>
      <c r="N111" s="206">
        <f t="shared" si="4"/>
        <v>600</v>
      </c>
      <c r="O111" s="66">
        <f t="shared" si="5"/>
        <v>75</v>
      </c>
      <c r="P111" s="141"/>
    </row>
    <row r="112" spans="1:16" ht="15.6" customHeight="1" x14ac:dyDescent="0.3">
      <c r="A112" s="207">
        <v>1</v>
      </c>
      <c r="B112" s="204" t="s">
        <v>116</v>
      </c>
      <c r="C112" s="204" t="s">
        <v>117</v>
      </c>
      <c r="D112" s="204">
        <v>525</v>
      </c>
      <c r="E112" s="59"/>
      <c r="F112" s="206"/>
      <c r="G112" s="206">
        <v>600</v>
      </c>
      <c r="H112" s="206"/>
      <c r="I112" s="206"/>
      <c r="J112" s="206"/>
      <c r="K112" s="206"/>
      <c r="L112" s="206"/>
      <c r="M112" s="206"/>
      <c r="N112" s="206">
        <f t="shared" si="4"/>
        <v>600</v>
      </c>
      <c r="O112" s="66">
        <f t="shared" si="5"/>
        <v>75</v>
      </c>
      <c r="P112" s="141"/>
    </row>
    <row r="113" spans="1:16" ht="15.6" customHeight="1" x14ac:dyDescent="0.3">
      <c r="A113" s="93">
        <v>1</v>
      </c>
      <c r="B113" s="94" t="s">
        <v>190</v>
      </c>
      <c r="C113" s="94" t="s">
        <v>189</v>
      </c>
      <c r="D113" s="94">
        <v>525</v>
      </c>
      <c r="E113" s="133">
        <v>300</v>
      </c>
      <c r="F113" s="185"/>
      <c r="G113" s="185"/>
      <c r="H113" s="185"/>
      <c r="I113" s="185"/>
      <c r="J113" s="185"/>
      <c r="K113" s="185"/>
      <c r="L113" s="185"/>
      <c r="M113" s="185"/>
      <c r="N113" s="206">
        <f t="shared" si="4"/>
        <v>300</v>
      </c>
      <c r="O113" s="141">
        <f t="shared" si="5"/>
        <v>-225</v>
      </c>
      <c r="P113" s="141"/>
    </row>
    <row r="114" spans="1:16" ht="15.6" customHeight="1" x14ac:dyDescent="0.3">
      <c r="A114" s="207">
        <v>1</v>
      </c>
      <c r="B114" s="204" t="s">
        <v>217</v>
      </c>
      <c r="C114" s="204" t="s">
        <v>216</v>
      </c>
      <c r="D114" s="204">
        <v>525</v>
      </c>
      <c r="E114" s="59">
        <v>300</v>
      </c>
      <c r="F114" s="206"/>
      <c r="G114" s="206"/>
      <c r="H114" s="206"/>
      <c r="I114" s="206">
        <v>300</v>
      </c>
      <c r="J114" s="206"/>
      <c r="K114" s="206"/>
      <c r="L114" s="206"/>
      <c r="M114" s="206"/>
      <c r="N114" s="206">
        <f t="shared" si="4"/>
        <v>600</v>
      </c>
      <c r="O114" s="66">
        <f t="shared" si="5"/>
        <v>75</v>
      </c>
      <c r="P114" s="141"/>
    </row>
    <row r="115" spans="1:16" ht="15.6" customHeight="1" x14ac:dyDescent="0.3">
      <c r="A115" s="207">
        <v>1</v>
      </c>
      <c r="B115" s="204" t="s">
        <v>118</v>
      </c>
      <c r="C115" s="204" t="s">
        <v>119</v>
      </c>
      <c r="D115" s="204">
        <v>525</v>
      </c>
      <c r="E115" s="59"/>
      <c r="F115" s="206">
        <v>300</v>
      </c>
      <c r="G115" s="206"/>
      <c r="H115" s="206"/>
      <c r="I115" s="206">
        <v>350</v>
      </c>
      <c r="J115" s="206"/>
      <c r="K115" s="206"/>
      <c r="L115" s="206"/>
      <c r="M115" s="206"/>
      <c r="N115" s="206">
        <f t="shared" si="4"/>
        <v>650</v>
      </c>
      <c r="O115" s="66">
        <f t="shared" si="5"/>
        <v>125</v>
      </c>
      <c r="P115" s="141">
        <v>50</v>
      </c>
    </row>
    <row r="116" spans="1:16" ht="15.6" customHeight="1" x14ac:dyDescent="0.3">
      <c r="A116" s="207">
        <v>1</v>
      </c>
      <c r="B116" s="208" t="s">
        <v>374</v>
      </c>
      <c r="C116" s="208" t="s">
        <v>375</v>
      </c>
      <c r="D116" s="204">
        <v>525</v>
      </c>
      <c r="E116" s="59"/>
      <c r="F116" s="206"/>
      <c r="G116" s="206">
        <v>650</v>
      </c>
      <c r="H116" s="206"/>
      <c r="I116" s="206"/>
      <c r="J116" s="206"/>
      <c r="K116" s="206"/>
      <c r="L116" s="206"/>
      <c r="M116" s="206"/>
      <c r="N116" s="206">
        <f t="shared" si="4"/>
        <v>650</v>
      </c>
      <c r="O116" s="66">
        <f t="shared" si="5"/>
        <v>125</v>
      </c>
      <c r="P116" s="141">
        <v>50</v>
      </c>
    </row>
    <row r="117" spans="1:16" ht="15.6" customHeight="1" x14ac:dyDescent="0.3">
      <c r="A117" s="93">
        <v>1</v>
      </c>
      <c r="B117" s="103" t="s">
        <v>386</v>
      </c>
      <c r="C117" s="103" t="s">
        <v>443</v>
      </c>
      <c r="D117" s="94">
        <v>525</v>
      </c>
      <c r="E117" s="59"/>
      <c r="F117" s="206"/>
      <c r="G117" s="206"/>
      <c r="H117" s="206"/>
      <c r="I117" s="206"/>
      <c r="J117" s="206">
        <v>450</v>
      </c>
      <c r="K117" s="206"/>
      <c r="L117" s="206">
        <v>150</v>
      </c>
      <c r="M117" s="206"/>
      <c r="N117" s="206">
        <f t="shared" si="4"/>
        <v>600</v>
      </c>
      <c r="O117" s="66">
        <f t="shared" si="5"/>
        <v>75</v>
      </c>
      <c r="P117" s="141"/>
    </row>
    <row r="118" spans="1:16" ht="16.149999999999999" customHeight="1" x14ac:dyDescent="0.3">
      <c r="A118" s="219">
        <f>SUM(A99:A117)</f>
        <v>18</v>
      </c>
      <c r="B118" s="221"/>
      <c r="C118" s="221"/>
      <c r="D118" s="221">
        <f>SUM(D99:D117)</f>
        <v>9975</v>
      </c>
      <c r="E118" s="219">
        <f>SUM(E99:E115)</f>
        <v>600</v>
      </c>
      <c r="F118" s="193">
        <f>SUM(F99:F115)</f>
        <v>3350</v>
      </c>
      <c r="G118" s="193">
        <f>SUM(G99:G116)</f>
        <v>2600</v>
      </c>
      <c r="H118" s="193">
        <f>SUM(H99:H116)</f>
        <v>200</v>
      </c>
      <c r="I118" s="193">
        <f>SUM(I99:I116)</f>
        <v>650</v>
      </c>
      <c r="J118" s="193">
        <f>SUM(J99:J117)</f>
        <v>1650</v>
      </c>
      <c r="K118" s="193">
        <f>SUM(K99:K117)</f>
        <v>350</v>
      </c>
      <c r="L118" s="193">
        <f>SUM(L99:L117)</f>
        <v>350</v>
      </c>
      <c r="M118" s="193">
        <f>SUM(M99:M117)</f>
        <v>0</v>
      </c>
      <c r="N118" s="185">
        <f>SUM(N99:N117)</f>
        <v>9750</v>
      </c>
      <c r="O118" s="141"/>
      <c r="P118" s="141">
        <f>SUM(P99:P117)</f>
        <v>1000</v>
      </c>
    </row>
    <row r="119" spans="1:16" ht="42.6" customHeight="1" x14ac:dyDescent="0.3">
      <c r="A119" s="144" t="s">
        <v>239</v>
      </c>
      <c r="B119" s="143"/>
      <c r="C119" s="143"/>
      <c r="D119" s="143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</row>
    <row r="120" spans="1:16" ht="41.45" customHeight="1" x14ac:dyDescent="0.3">
      <c r="A120" s="155" t="s">
        <v>48</v>
      </c>
      <c r="B120" s="155" t="s">
        <v>40</v>
      </c>
      <c r="C120" s="155" t="s">
        <v>41</v>
      </c>
      <c r="D120" s="155" t="s">
        <v>483</v>
      </c>
      <c r="E120" s="155" t="s">
        <v>346</v>
      </c>
      <c r="F120" s="155" t="s">
        <v>347</v>
      </c>
      <c r="G120" s="155" t="s">
        <v>390</v>
      </c>
      <c r="H120" s="155" t="s">
        <v>395</v>
      </c>
      <c r="I120" s="155" t="s">
        <v>425</v>
      </c>
      <c r="J120" s="155" t="s">
        <v>431</v>
      </c>
      <c r="K120" s="155"/>
      <c r="L120" s="155"/>
      <c r="M120" s="155"/>
      <c r="N120" s="185" t="s">
        <v>169</v>
      </c>
      <c r="O120" s="141" t="s">
        <v>488</v>
      </c>
      <c r="P120" s="141" t="s">
        <v>487</v>
      </c>
    </row>
    <row r="121" spans="1:16" ht="16.149999999999999" customHeight="1" x14ac:dyDescent="0.3">
      <c r="A121" s="207">
        <v>1</v>
      </c>
      <c r="B121" s="204" t="s">
        <v>120</v>
      </c>
      <c r="C121" s="204" t="s">
        <v>121</v>
      </c>
      <c r="D121" s="204">
        <v>575</v>
      </c>
      <c r="E121" s="59"/>
      <c r="F121" s="206"/>
      <c r="G121" s="206">
        <v>600</v>
      </c>
      <c r="H121" s="206"/>
      <c r="I121" s="206"/>
      <c r="J121" s="206"/>
      <c r="K121" s="206"/>
      <c r="L121" s="206"/>
      <c r="M121" s="206"/>
      <c r="N121" s="206">
        <f>SUM(E121:J121)</f>
        <v>600</v>
      </c>
      <c r="O121" s="66">
        <f>N121-D121</f>
        <v>25</v>
      </c>
      <c r="P121" s="141"/>
    </row>
    <row r="122" spans="1:16" ht="16.149999999999999" customHeight="1" x14ac:dyDescent="0.3">
      <c r="A122" s="207">
        <v>1</v>
      </c>
      <c r="B122" s="204" t="s">
        <v>122</v>
      </c>
      <c r="C122" s="204" t="s">
        <v>123</v>
      </c>
      <c r="D122" s="204">
        <v>575</v>
      </c>
      <c r="E122" s="59"/>
      <c r="F122" s="206"/>
      <c r="G122" s="206">
        <v>600</v>
      </c>
      <c r="H122" s="206"/>
      <c r="I122" s="206"/>
      <c r="J122" s="206"/>
      <c r="K122" s="206"/>
      <c r="L122" s="206"/>
      <c r="M122" s="206"/>
      <c r="N122" s="206">
        <f t="shared" ref="N122:N133" si="6">SUM(E122:J122)</f>
        <v>600</v>
      </c>
      <c r="O122" s="66">
        <f t="shared" ref="O122:O132" si="7">N122-D122</f>
        <v>25</v>
      </c>
      <c r="P122" s="141"/>
    </row>
    <row r="123" spans="1:16" ht="16.149999999999999" customHeight="1" x14ac:dyDescent="0.3">
      <c r="A123" s="93">
        <v>1</v>
      </c>
      <c r="B123" s="94" t="s">
        <v>59</v>
      </c>
      <c r="C123" s="94" t="s">
        <v>124</v>
      </c>
      <c r="D123" s="94">
        <v>575</v>
      </c>
      <c r="E123" s="133"/>
      <c r="F123" s="185"/>
      <c r="G123" s="185"/>
      <c r="H123" s="185"/>
      <c r="I123" s="185"/>
      <c r="J123" s="185"/>
      <c r="K123" s="185"/>
      <c r="L123" s="185">
        <v>600</v>
      </c>
      <c r="M123" s="185"/>
      <c r="N123" s="185">
        <f>SUM(E123:L123)</f>
        <v>600</v>
      </c>
      <c r="O123" s="141">
        <f t="shared" si="7"/>
        <v>25</v>
      </c>
      <c r="P123" s="141"/>
    </row>
    <row r="124" spans="1:16" ht="16.149999999999999" customHeight="1" x14ac:dyDescent="0.3">
      <c r="A124" s="93">
        <v>1</v>
      </c>
      <c r="B124" s="94" t="s">
        <v>321</v>
      </c>
      <c r="C124" s="94" t="s">
        <v>125</v>
      </c>
      <c r="D124" s="94">
        <v>575</v>
      </c>
      <c r="E124" s="133"/>
      <c r="F124" s="185"/>
      <c r="G124" s="185"/>
      <c r="H124" s="185"/>
      <c r="I124" s="185">
        <v>200</v>
      </c>
      <c r="J124" s="185">
        <v>200</v>
      </c>
      <c r="K124" s="185"/>
      <c r="L124" s="185">
        <v>200</v>
      </c>
      <c r="M124" s="185"/>
      <c r="N124" s="185">
        <f>SUM(E124:L124)</f>
        <v>600</v>
      </c>
      <c r="O124" s="141">
        <f t="shared" si="7"/>
        <v>25</v>
      </c>
      <c r="P124" s="141"/>
    </row>
    <row r="125" spans="1:16" ht="16.149999999999999" customHeight="1" x14ac:dyDescent="0.3">
      <c r="A125" s="207">
        <v>1</v>
      </c>
      <c r="B125" s="204" t="s">
        <v>25</v>
      </c>
      <c r="C125" s="204" t="s">
        <v>429</v>
      </c>
      <c r="D125" s="204">
        <v>575</v>
      </c>
      <c r="E125" s="59"/>
      <c r="F125" s="206"/>
      <c r="G125" s="206">
        <v>600</v>
      </c>
      <c r="H125" s="206"/>
      <c r="I125" s="206"/>
      <c r="J125" s="206"/>
      <c r="K125" s="206"/>
      <c r="L125" s="206"/>
      <c r="M125" s="206"/>
      <c r="N125" s="206">
        <f t="shared" si="6"/>
        <v>600</v>
      </c>
      <c r="O125" s="66">
        <f t="shared" si="7"/>
        <v>25</v>
      </c>
      <c r="P125" s="141"/>
    </row>
    <row r="126" spans="1:16" ht="17.25" x14ac:dyDescent="0.3">
      <c r="A126" s="207">
        <v>1</v>
      </c>
      <c r="B126" s="204" t="s">
        <v>149</v>
      </c>
      <c r="C126" s="204" t="s">
        <v>146</v>
      </c>
      <c r="D126" s="204">
        <v>575</v>
      </c>
      <c r="E126" s="59">
        <v>600</v>
      </c>
      <c r="F126" s="206"/>
      <c r="G126" s="206"/>
      <c r="H126" s="206"/>
      <c r="I126" s="206"/>
      <c r="J126" s="206"/>
      <c r="K126" s="206"/>
      <c r="L126" s="206"/>
      <c r="M126" s="206"/>
      <c r="N126" s="206">
        <f t="shared" si="6"/>
        <v>600</v>
      </c>
      <c r="O126" s="66">
        <f t="shared" si="7"/>
        <v>25</v>
      </c>
      <c r="P126" s="141"/>
    </row>
    <row r="127" spans="1:16" ht="17.25" x14ac:dyDescent="0.3">
      <c r="A127" s="207">
        <v>1</v>
      </c>
      <c r="B127" s="208" t="s">
        <v>263</v>
      </c>
      <c r="C127" s="208" t="s">
        <v>264</v>
      </c>
      <c r="D127" s="204">
        <v>575</v>
      </c>
      <c r="E127" s="59"/>
      <c r="F127" s="206">
        <v>1200</v>
      </c>
      <c r="G127" s="206"/>
      <c r="H127" s="206"/>
      <c r="I127" s="206"/>
      <c r="J127" s="206"/>
      <c r="K127" s="206"/>
      <c r="L127" s="206"/>
      <c r="M127" s="206"/>
      <c r="N127" s="206">
        <f t="shared" si="6"/>
        <v>1200</v>
      </c>
      <c r="O127" s="66">
        <f t="shared" si="7"/>
        <v>625</v>
      </c>
      <c r="P127" s="141"/>
    </row>
    <row r="128" spans="1:16" ht="17.25" x14ac:dyDescent="0.3">
      <c r="A128" s="207">
        <v>1</v>
      </c>
      <c r="B128" s="208" t="s">
        <v>412</v>
      </c>
      <c r="C128" s="208" t="s">
        <v>413</v>
      </c>
      <c r="D128" s="204">
        <v>575</v>
      </c>
      <c r="E128" s="59"/>
      <c r="F128" s="206"/>
      <c r="G128" s="206"/>
      <c r="H128" s="206">
        <v>600</v>
      </c>
      <c r="I128" s="206"/>
      <c r="J128" s="206"/>
      <c r="K128" s="206"/>
      <c r="L128" s="206"/>
      <c r="M128" s="206"/>
      <c r="N128" s="206">
        <f t="shared" si="6"/>
        <v>600</v>
      </c>
      <c r="O128" s="66">
        <f t="shared" si="7"/>
        <v>25</v>
      </c>
      <c r="P128" s="141"/>
    </row>
    <row r="129" spans="1:16" ht="17.25" x14ac:dyDescent="0.3">
      <c r="A129" s="207">
        <v>1</v>
      </c>
      <c r="B129" s="218" t="s">
        <v>438</v>
      </c>
      <c r="C129" s="218" t="s">
        <v>439</v>
      </c>
      <c r="D129" s="204">
        <v>575</v>
      </c>
      <c r="E129" s="59"/>
      <c r="F129" s="206"/>
      <c r="G129" s="206"/>
      <c r="H129" s="206"/>
      <c r="I129" s="206"/>
      <c r="J129" s="206">
        <v>650</v>
      </c>
      <c r="K129" s="206"/>
      <c r="L129" s="206"/>
      <c r="M129" s="206"/>
      <c r="N129" s="206">
        <f t="shared" si="6"/>
        <v>650</v>
      </c>
      <c r="O129" s="66">
        <f t="shared" si="7"/>
        <v>75</v>
      </c>
      <c r="P129" s="141">
        <v>50</v>
      </c>
    </row>
    <row r="130" spans="1:16" ht="17.25" x14ac:dyDescent="0.3">
      <c r="A130" s="207">
        <v>1</v>
      </c>
      <c r="B130" s="218" t="s">
        <v>459</v>
      </c>
      <c r="C130" s="218" t="s">
        <v>456</v>
      </c>
      <c r="D130" s="204">
        <v>575</v>
      </c>
      <c r="E130" s="59"/>
      <c r="F130" s="206"/>
      <c r="G130" s="206"/>
      <c r="H130" s="206"/>
      <c r="I130" s="206"/>
      <c r="J130" s="206">
        <v>650</v>
      </c>
      <c r="K130" s="206"/>
      <c r="L130" s="206"/>
      <c r="M130" s="206"/>
      <c r="N130" s="206">
        <f t="shared" si="6"/>
        <v>650</v>
      </c>
      <c r="O130" s="66">
        <f t="shared" si="7"/>
        <v>75</v>
      </c>
      <c r="P130" s="141">
        <v>50</v>
      </c>
    </row>
    <row r="131" spans="1:16" ht="17.25" x14ac:dyDescent="0.3">
      <c r="A131" s="207">
        <v>1</v>
      </c>
      <c r="B131" s="218" t="s">
        <v>464</v>
      </c>
      <c r="C131" s="218" t="s">
        <v>465</v>
      </c>
      <c r="D131" s="204">
        <v>575</v>
      </c>
      <c r="E131" s="59"/>
      <c r="F131" s="206"/>
      <c r="G131" s="206"/>
      <c r="H131" s="206"/>
      <c r="I131" s="206"/>
      <c r="J131" s="206">
        <v>600</v>
      </c>
      <c r="K131" s="206"/>
      <c r="L131" s="206"/>
      <c r="M131" s="206"/>
      <c r="N131" s="206">
        <f t="shared" si="6"/>
        <v>600</v>
      </c>
      <c r="O131" s="66">
        <f t="shared" si="7"/>
        <v>25</v>
      </c>
      <c r="P131" s="141"/>
    </row>
    <row r="132" spans="1:16" ht="17.25" x14ac:dyDescent="0.3">
      <c r="A132" s="207">
        <v>1</v>
      </c>
      <c r="B132" s="218" t="s">
        <v>469</v>
      </c>
      <c r="C132" s="218" t="s">
        <v>473</v>
      </c>
      <c r="D132" s="204">
        <v>575</v>
      </c>
      <c r="E132" s="59"/>
      <c r="F132" s="206"/>
      <c r="G132" s="206"/>
      <c r="H132" s="206"/>
      <c r="I132" s="206"/>
      <c r="J132" s="206">
        <v>650</v>
      </c>
      <c r="K132" s="206"/>
      <c r="L132" s="206"/>
      <c r="M132" s="206"/>
      <c r="N132" s="206">
        <f t="shared" si="6"/>
        <v>650</v>
      </c>
      <c r="O132" s="66">
        <f t="shared" si="7"/>
        <v>75</v>
      </c>
      <c r="P132" s="141">
        <v>50</v>
      </c>
    </row>
    <row r="133" spans="1:16" x14ac:dyDescent="0.3">
      <c r="A133" s="219">
        <f>SUM(A121:A132)</f>
        <v>12</v>
      </c>
      <c r="B133" s="220"/>
      <c r="C133" s="220"/>
      <c r="D133" s="220">
        <f>SUM(D121:D132)</f>
        <v>6900</v>
      </c>
      <c r="E133" s="219">
        <f>SUM(E121:E126)</f>
        <v>600</v>
      </c>
      <c r="F133" s="193">
        <f>SUM(F121:F127)</f>
        <v>1200</v>
      </c>
      <c r="G133" s="193">
        <f>SUM(G121:G127)</f>
        <v>1800</v>
      </c>
      <c r="H133" s="193">
        <f>SUM(H121:H128)</f>
        <v>600</v>
      </c>
      <c r="I133" s="193">
        <f>SUM(I121:I128)</f>
        <v>200</v>
      </c>
      <c r="J133" s="193">
        <f>SUM(J121:J132)</f>
        <v>2750</v>
      </c>
      <c r="K133" s="193">
        <f>SUM(K121:K132)</f>
        <v>0</v>
      </c>
      <c r="L133" s="193">
        <f>SUM(L121:L132)</f>
        <v>800</v>
      </c>
      <c r="M133" s="193">
        <f>SUM(M121:M132)</f>
        <v>0</v>
      </c>
      <c r="N133" s="185">
        <f t="shared" si="6"/>
        <v>7150</v>
      </c>
      <c r="O133" s="141"/>
      <c r="P133" s="144">
        <f>SUM(P121:P132)</f>
        <v>150</v>
      </c>
    </row>
    <row r="134" spans="1:16" x14ac:dyDescent="0.3">
      <c r="A134" s="153"/>
      <c r="B134" s="158"/>
      <c r="C134" s="158"/>
      <c r="D134" s="158"/>
      <c r="E134" s="153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</row>
    <row r="135" spans="1:16" x14ac:dyDescent="0.3">
      <c r="A135" s="153"/>
      <c r="B135" s="158"/>
      <c r="C135" s="158"/>
      <c r="D135" s="158"/>
      <c r="E135" s="153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</row>
    <row r="136" spans="1:16" x14ac:dyDescent="0.3">
      <c r="A136" s="153"/>
      <c r="B136" s="158"/>
      <c r="C136" s="158"/>
      <c r="D136" s="158"/>
      <c r="E136" s="153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</row>
    <row r="137" spans="1:16" x14ac:dyDescent="0.3">
      <c r="A137" s="153"/>
      <c r="B137" s="158"/>
      <c r="C137" s="158"/>
      <c r="D137" s="158"/>
      <c r="E137" s="153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</row>
    <row r="138" spans="1:16" x14ac:dyDescent="0.3">
      <c r="A138" s="153"/>
      <c r="B138" s="158"/>
      <c r="C138" s="158"/>
      <c r="D138" s="158"/>
      <c r="E138" s="153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</row>
    <row r="139" spans="1:16" x14ac:dyDescent="0.3">
      <c r="A139" s="153"/>
      <c r="B139" s="158"/>
      <c r="C139" s="158"/>
      <c r="D139" s="158"/>
      <c r="E139" s="153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</row>
    <row r="140" spans="1:16" x14ac:dyDescent="0.3">
      <c r="A140" s="153"/>
      <c r="B140" s="158"/>
      <c r="C140" s="158"/>
      <c r="D140" s="158"/>
      <c r="E140" s="153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</row>
    <row r="141" spans="1:16" x14ac:dyDescent="0.3">
      <c r="A141" s="159" t="s">
        <v>333</v>
      </c>
      <c r="B141" s="158"/>
      <c r="C141" s="158"/>
      <c r="D141" s="158"/>
      <c r="E141" s="153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</row>
    <row r="142" spans="1:16" ht="45" x14ac:dyDescent="0.3">
      <c r="A142" s="145" t="s">
        <v>48</v>
      </c>
      <c r="B142" s="145" t="s">
        <v>40</v>
      </c>
      <c r="C142" s="145" t="s">
        <v>41</v>
      </c>
      <c r="D142" s="145" t="s">
        <v>483</v>
      </c>
      <c r="E142" s="155" t="s">
        <v>346</v>
      </c>
      <c r="F142" s="155" t="s">
        <v>355</v>
      </c>
      <c r="G142" s="155" t="s">
        <v>390</v>
      </c>
      <c r="H142" s="155" t="s">
        <v>395</v>
      </c>
      <c r="I142" s="155" t="s">
        <v>426</v>
      </c>
      <c r="J142" s="155" t="s">
        <v>431</v>
      </c>
      <c r="K142" s="155"/>
      <c r="L142" s="155"/>
      <c r="M142" s="155"/>
      <c r="N142" s="185" t="s">
        <v>169</v>
      </c>
      <c r="O142" s="141" t="s">
        <v>488</v>
      </c>
      <c r="P142" s="141" t="s">
        <v>487</v>
      </c>
    </row>
    <row r="143" spans="1:16" ht="17.25" x14ac:dyDescent="0.3">
      <c r="A143" s="133">
        <v>1</v>
      </c>
      <c r="B143" s="160" t="s">
        <v>128</v>
      </c>
      <c r="C143" s="160" t="s">
        <v>129</v>
      </c>
      <c r="D143" s="160">
        <v>550</v>
      </c>
      <c r="E143" s="133"/>
      <c r="F143" s="185"/>
      <c r="G143" s="185"/>
      <c r="H143" s="185"/>
      <c r="I143" s="185"/>
      <c r="J143" s="185"/>
      <c r="K143" s="185"/>
      <c r="L143" s="185"/>
      <c r="M143" s="185">
        <v>300</v>
      </c>
      <c r="N143" s="185">
        <f>SUM(E143:J143)</f>
        <v>0</v>
      </c>
      <c r="O143" s="141">
        <f>N143-D143</f>
        <v>-550</v>
      </c>
      <c r="P143" s="141"/>
    </row>
    <row r="144" spans="1:16" s="118" customFormat="1" ht="17.25" x14ac:dyDescent="0.3">
      <c r="A144" s="207">
        <v>1</v>
      </c>
      <c r="B144" s="208" t="s">
        <v>130</v>
      </c>
      <c r="C144" s="208" t="s">
        <v>131</v>
      </c>
      <c r="D144" s="60">
        <v>550</v>
      </c>
      <c r="E144" s="207"/>
      <c r="F144" s="195"/>
      <c r="G144" s="195"/>
      <c r="H144" s="195"/>
      <c r="I144" s="195"/>
      <c r="J144" s="195">
        <v>650</v>
      </c>
      <c r="K144" s="195"/>
      <c r="L144" s="195"/>
      <c r="M144" s="195"/>
      <c r="N144" s="195">
        <f t="shared" ref="N144:N147" si="8">SUM(E144:J144)</f>
        <v>650</v>
      </c>
      <c r="O144" s="66">
        <f t="shared" ref="O144:O147" si="9">N144-D144</f>
        <v>100</v>
      </c>
      <c r="P144" s="138">
        <v>50</v>
      </c>
    </row>
    <row r="145" spans="1:16" ht="17.25" x14ac:dyDescent="0.3">
      <c r="A145" s="59">
        <v>1</v>
      </c>
      <c r="B145" s="60" t="s">
        <v>279</v>
      </c>
      <c r="C145" s="60" t="s">
        <v>284</v>
      </c>
      <c r="D145" s="60">
        <v>550</v>
      </c>
      <c r="E145" s="59"/>
      <c r="F145" s="206">
        <v>300</v>
      </c>
      <c r="G145" s="206"/>
      <c r="H145" s="206"/>
      <c r="I145" s="206">
        <v>1400</v>
      </c>
      <c r="J145" s="206"/>
      <c r="K145" s="206"/>
      <c r="L145" s="206"/>
      <c r="M145" s="206"/>
      <c r="N145" s="206">
        <f t="shared" si="8"/>
        <v>1700</v>
      </c>
      <c r="O145" s="66">
        <f t="shared" si="9"/>
        <v>1150</v>
      </c>
      <c r="P145" s="141">
        <v>500</v>
      </c>
    </row>
    <row r="146" spans="1:16" ht="17.25" x14ac:dyDescent="0.3">
      <c r="A146" s="59">
        <v>1</v>
      </c>
      <c r="B146" s="210" t="s">
        <v>132</v>
      </c>
      <c r="C146" s="210" t="s">
        <v>133</v>
      </c>
      <c r="D146" s="60">
        <v>550</v>
      </c>
      <c r="E146" s="59"/>
      <c r="F146" s="206"/>
      <c r="G146" s="206"/>
      <c r="H146" s="206">
        <v>600</v>
      </c>
      <c r="I146" s="206"/>
      <c r="J146" s="206"/>
      <c r="K146" s="206"/>
      <c r="L146" s="206"/>
      <c r="M146" s="206"/>
      <c r="N146" s="206">
        <f t="shared" si="8"/>
        <v>600</v>
      </c>
      <c r="O146" s="66">
        <f t="shared" si="9"/>
        <v>50</v>
      </c>
      <c r="P146" s="141"/>
    </row>
    <row r="147" spans="1:16" ht="17.25" x14ac:dyDescent="0.3">
      <c r="A147" s="59">
        <v>1</v>
      </c>
      <c r="B147" s="60" t="s">
        <v>134</v>
      </c>
      <c r="C147" s="60" t="s">
        <v>320</v>
      </c>
      <c r="D147" s="60">
        <v>550</v>
      </c>
      <c r="E147" s="59"/>
      <c r="F147" s="206">
        <v>300</v>
      </c>
      <c r="G147" s="206"/>
      <c r="H147" s="206"/>
      <c r="I147" s="206"/>
      <c r="J147" s="206">
        <v>300</v>
      </c>
      <c r="K147" s="206"/>
      <c r="L147" s="206"/>
      <c r="M147" s="206"/>
      <c r="N147" s="206">
        <f t="shared" si="8"/>
        <v>600</v>
      </c>
      <c r="O147" s="66">
        <f t="shared" si="9"/>
        <v>50</v>
      </c>
      <c r="P147" s="141"/>
    </row>
    <row r="148" spans="1:16" x14ac:dyDescent="0.3">
      <c r="A148" s="157">
        <f>SUM(A143:A147)</f>
        <v>5</v>
      </c>
      <c r="B148" s="157"/>
      <c r="C148" s="157"/>
      <c r="D148" s="157">
        <f>SUM(D143:D147)</f>
        <v>2750</v>
      </c>
      <c r="E148" s="157">
        <f t="shared" ref="E148:J148" si="10">SUM(E143:E147)</f>
        <v>0</v>
      </c>
      <c r="F148" s="188">
        <f t="shared" si="10"/>
        <v>600</v>
      </c>
      <c r="G148" s="188">
        <f t="shared" si="10"/>
        <v>0</v>
      </c>
      <c r="H148" s="189">
        <f t="shared" si="10"/>
        <v>600</v>
      </c>
      <c r="I148" s="189">
        <f t="shared" si="10"/>
        <v>1400</v>
      </c>
      <c r="J148" s="189">
        <f t="shared" si="10"/>
        <v>950</v>
      </c>
      <c r="K148" s="189">
        <f>SUM(K143:K147)</f>
        <v>0</v>
      </c>
      <c r="L148" s="189">
        <f>SUM(L143:L147)</f>
        <v>0</v>
      </c>
      <c r="M148" s="189">
        <f>SUM(M143:M147)</f>
        <v>300</v>
      </c>
      <c r="N148" s="185">
        <f>SUM(E148:K148)</f>
        <v>3550</v>
      </c>
      <c r="O148" s="141"/>
      <c r="P148" s="144">
        <f>SUM(P143:P147)</f>
        <v>550</v>
      </c>
    </row>
    <row r="149" spans="1:16" x14ac:dyDescent="0.3">
      <c r="A149" s="153"/>
      <c r="B149" s="153"/>
      <c r="C149" s="153"/>
      <c r="D149" s="153"/>
      <c r="E149" s="153"/>
      <c r="F149" s="186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</row>
    <row r="150" spans="1:16" x14ac:dyDescent="0.3">
      <c r="A150" s="153"/>
      <c r="B150" s="153"/>
      <c r="C150" s="153"/>
      <c r="D150" s="153"/>
      <c r="E150" s="153"/>
      <c r="F150" s="186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</row>
    <row r="151" spans="1:16" x14ac:dyDescent="0.3">
      <c r="A151" s="153"/>
      <c r="B151" s="153"/>
      <c r="C151" s="153"/>
      <c r="D151" s="153"/>
      <c r="E151" s="153"/>
      <c r="F151" s="186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</row>
    <row r="152" spans="1:16" x14ac:dyDescent="0.3">
      <c r="A152" s="153"/>
      <c r="B152" s="153"/>
      <c r="C152" s="153"/>
      <c r="D152" s="153"/>
      <c r="E152" s="153"/>
      <c r="F152" s="186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</row>
    <row r="153" spans="1:16" x14ac:dyDescent="0.3">
      <c r="A153" s="153"/>
      <c r="B153" s="153"/>
      <c r="C153" s="153"/>
      <c r="D153" s="153"/>
      <c r="E153" s="153"/>
      <c r="F153" s="186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</row>
    <row r="154" spans="1:16" x14ac:dyDescent="0.3">
      <c r="A154" s="153"/>
      <c r="B154" s="153"/>
      <c r="C154" s="153"/>
      <c r="D154" s="153"/>
      <c r="E154" s="153"/>
      <c r="F154" s="186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</row>
    <row r="155" spans="1:16" x14ac:dyDescent="0.3">
      <c r="A155" s="153"/>
      <c r="B155" s="153"/>
      <c r="C155" s="153"/>
      <c r="D155" s="153"/>
      <c r="E155" s="153"/>
      <c r="F155" s="186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</row>
    <row r="156" spans="1:16" x14ac:dyDescent="0.3">
      <c r="A156" s="153"/>
      <c r="B156" s="153"/>
      <c r="C156" s="153"/>
      <c r="D156" s="153"/>
      <c r="E156" s="153"/>
      <c r="F156" s="186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</row>
    <row r="157" spans="1:16" x14ac:dyDescent="0.3">
      <c r="A157" s="153"/>
      <c r="B157" s="153"/>
      <c r="C157" s="153"/>
      <c r="D157" s="153"/>
      <c r="E157" s="153"/>
      <c r="F157" s="186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</row>
    <row r="158" spans="1:16" x14ac:dyDescent="0.3">
      <c r="A158" s="153"/>
      <c r="B158" s="153"/>
      <c r="C158" s="153"/>
      <c r="D158" s="153"/>
      <c r="E158" s="153"/>
      <c r="F158" s="186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</row>
    <row r="159" spans="1:16" x14ac:dyDescent="0.3">
      <c r="A159" s="153"/>
      <c r="B159" s="153"/>
      <c r="C159" s="153"/>
      <c r="D159" s="153"/>
      <c r="E159" s="153"/>
      <c r="F159" s="186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</row>
    <row r="160" spans="1:16" x14ac:dyDescent="0.3">
      <c r="A160" s="153"/>
      <c r="B160" s="153"/>
      <c r="C160" s="153"/>
      <c r="D160" s="153"/>
      <c r="E160" s="153"/>
      <c r="F160" s="186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</row>
    <row r="161" spans="1:16" x14ac:dyDescent="0.3">
      <c r="A161" s="153"/>
      <c r="B161" s="153"/>
      <c r="C161" s="153"/>
      <c r="D161" s="153"/>
      <c r="E161" s="153"/>
      <c r="F161" s="186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</row>
    <row r="162" spans="1:16" x14ac:dyDescent="0.3">
      <c r="A162" s="153"/>
      <c r="B162" s="153"/>
      <c r="C162" s="153"/>
      <c r="D162" s="153"/>
      <c r="E162" s="153"/>
      <c r="F162" s="186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</row>
    <row r="163" spans="1:16" x14ac:dyDescent="0.3">
      <c r="A163" s="153"/>
      <c r="B163" s="153"/>
      <c r="C163" s="153"/>
      <c r="D163" s="153"/>
      <c r="E163" s="153"/>
      <c r="F163" s="186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</row>
    <row r="164" spans="1:16" x14ac:dyDescent="0.3">
      <c r="A164" s="153"/>
      <c r="B164" s="153"/>
      <c r="C164" s="153"/>
      <c r="D164" s="153"/>
      <c r="E164" s="153"/>
      <c r="F164" s="186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</row>
    <row r="165" spans="1:16" x14ac:dyDescent="0.3">
      <c r="A165" s="153"/>
      <c r="B165" s="153"/>
      <c r="C165" s="153"/>
      <c r="D165" s="153"/>
      <c r="E165" s="153"/>
      <c r="F165" s="186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</row>
    <row r="166" spans="1:16" x14ac:dyDescent="0.3">
      <c r="A166" s="153"/>
      <c r="B166" s="153"/>
      <c r="C166" s="153"/>
      <c r="D166" s="153"/>
      <c r="E166" s="153"/>
      <c r="F166" s="186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</row>
    <row r="167" spans="1:16" x14ac:dyDescent="0.3">
      <c r="A167" s="153"/>
      <c r="B167" s="153"/>
      <c r="C167" s="153"/>
      <c r="D167" s="153"/>
      <c r="E167" s="153"/>
      <c r="F167" s="186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</row>
    <row r="168" spans="1:16" x14ac:dyDescent="0.3">
      <c r="A168" s="153"/>
      <c r="B168" s="153"/>
      <c r="C168" s="153"/>
      <c r="D168" s="153"/>
      <c r="E168" s="153"/>
      <c r="F168" s="186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</row>
    <row r="169" spans="1:16" x14ac:dyDescent="0.3">
      <c r="A169" s="153"/>
      <c r="B169" s="153"/>
      <c r="C169" s="153"/>
      <c r="D169" s="153"/>
      <c r="E169" s="153"/>
      <c r="F169" s="186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</row>
    <row r="170" spans="1:16" x14ac:dyDescent="0.3">
      <c r="A170" s="153"/>
      <c r="B170" s="153"/>
      <c r="C170" s="153"/>
      <c r="D170" s="153"/>
      <c r="E170" s="153"/>
      <c r="F170" s="186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</row>
    <row r="171" spans="1:16" x14ac:dyDescent="0.3">
      <c r="A171" s="153"/>
      <c r="B171" s="153"/>
      <c r="C171" s="153"/>
      <c r="D171" s="153"/>
      <c r="E171" s="153"/>
      <c r="F171" s="186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</row>
    <row r="172" spans="1:16" x14ac:dyDescent="0.3">
      <c r="A172" s="153"/>
      <c r="B172" s="153"/>
      <c r="C172" s="153"/>
      <c r="D172" s="153"/>
      <c r="E172" s="153"/>
      <c r="F172" s="186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</row>
    <row r="173" spans="1:16" x14ac:dyDescent="0.3">
      <c r="A173" s="153"/>
      <c r="B173" s="153"/>
      <c r="C173" s="153"/>
      <c r="D173" s="153"/>
      <c r="E173" s="153"/>
      <c r="F173" s="186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</row>
    <row r="174" spans="1:16" x14ac:dyDescent="0.3">
      <c r="A174" s="153"/>
      <c r="B174" s="153"/>
      <c r="C174" s="153"/>
      <c r="D174" s="153"/>
      <c r="E174" s="153"/>
      <c r="F174" s="186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</row>
    <row r="175" spans="1:16" x14ac:dyDescent="0.3">
      <c r="A175" s="153"/>
      <c r="B175" s="153"/>
      <c r="C175" s="153"/>
      <c r="D175" s="153"/>
      <c r="E175" s="153"/>
      <c r="F175" s="186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</row>
    <row r="176" spans="1:16" x14ac:dyDescent="0.3">
      <c r="A176" s="153"/>
      <c r="B176" s="153"/>
      <c r="C176" s="153"/>
      <c r="D176" s="153"/>
      <c r="E176" s="153"/>
      <c r="F176" s="186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</row>
    <row r="177" spans="1:16" x14ac:dyDescent="0.3">
      <c r="A177" s="153"/>
      <c r="B177" s="153"/>
      <c r="C177" s="153"/>
      <c r="D177" s="153"/>
      <c r="E177" s="153"/>
      <c r="F177" s="186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</row>
    <row r="178" spans="1:16" x14ac:dyDescent="0.3">
      <c r="A178" s="141"/>
      <c r="B178" s="143"/>
      <c r="C178" s="143"/>
      <c r="D178" s="143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</row>
    <row r="179" spans="1:16" x14ac:dyDescent="0.3">
      <c r="A179" s="141"/>
      <c r="B179" s="144" t="s">
        <v>240</v>
      </c>
      <c r="C179" s="143"/>
      <c r="D179" s="143"/>
      <c r="E179" s="143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</row>
    <row r="180" spans="1:16" ht="51" x14ac:dyDescent="0.3">
      <c r="A180" s="141"/>
      <c r="B180" s="145" t="s">
        <v>154</v>
      </c>
      <c r="C180" s="211" t="s">
        <v>241</v>
      </c>
      <c r="D180" s="212" t="s">
        <v>489</v>
      </c>
      <c r="E180" s="212" t="s">
        <v>346</v>
      </c>
      <c r="F180" s="212" t="s">
        <v>355</v>
      </c>
      <c r="G180" s="212" t="s">
        <v>390</v>
      </c>
      <c r="H180" s="212" t="s">
        <v>414</v>
      </c>
      <c r="I180" s="212" t="s">
        <v>430</v>
      </c>
      <c r="J180" s="212" t="s">
        <v>474</v>
      </c>
      <c r="K180" s="212" t="s">
        <v>490</v>
      </c>
      <c r="L180" s="212" t="s">
        <v>494</v>
      </c>
      <c r="M180" s="212" t="s">
        <v>496</v>
      </c>
      <c r="N180" s="211" t="s">
        <v>437</v>
      </c>
      <c r="O180" s="213" t="s">
        <v>488</v>
      </c>
      <c r="P180" s="214" t="s">
        <v>491</v>
      </c>
    </row>
    <row r="181" spans="1:16" x14ac:dyDescent="0.3">
      <c r="A181" s="141"/>
      <c r="B181" s="191" t="s">
        <v>242</v>
      </c>
      <c r="C181" s="192">
        <f>A32</f>
        <v>27</v>
      </c>
      <c r="D181" s="192">
        <f t="shared" ref="D181:K181" si="11">D32</f>
        <v>14175</v>
      </c>
      <c r="E181" s="192">
        <f t="shared" si="11"/>
        <v>4165</v>
      </c>
      <c r="F181" s="192">
        <f t="shared" si="11"/>
        <v>1400</v>
      </c>
      <c r="G181" s="192">
        <f t="shared" si="11"/>
        <v>3050</v>
      </c>
      <c r="H181" s="192">
        <f t="shared" si="11"/>
        <v>825</v>
      </c>
      <c r="I181" s="192">
        <f t="shared" si="11"/>
        <v>1950</v>
      </c>
      <c r="J181" s="192">
        <f t="shared" si="11"/>
        <v>3260</v>
      </c>
      <c r="K181" s="192">
        <f t="shared" si="11"/>
        <v>600</v>
      </c>
      <c r="L181" s="192">
        <f>L32</f>
        <v>400</v>
      </c>
      <c r="M181" s="192">
        <f>M32</f>
        <v>300</v>
      </c>
      <c r="N181" s="185">
        <f>N32</f>
        <v>15650</v>
      </c>
      <c r="O181" s="141">
        <f>N181-D181</f>
        <v>1475</v>
      </c>
      <c r="P181" s="141">
        <f>P32</f>
        <v>950</v>
      </c>
    </row>
    <row r="182" spans="1:16" x14ac:dyDescent="0.3">
      <c r="A182" s="141"/>
      <c r="B182" s="191" t="s">
        <v>243</v>
      </c>
      <c r="C182" s="192">
        <f>A82</f>
        <v>28</v>
      </c>
      <c r="D182" s="192">
        <f t="shared" ref="D182:K182" si="12">D82</f>
        <v>14700</v>
      </c>
      <c r="E182" s="192">
        <f t="shared" si="12"/>
        <v>1300</v>
      </c>
      <c r="F182" s="192">
        <f t="shared" si="12"/>
        <v>5700</v>
      </c>
      <c r="G182" s="192">
        <f t="shared" si="12"/>
        <v>3000</v>
      </c>
      <c r="H182" s="192">
        <f t="shared" si="12"/>
        <v>0</v>
      </c>
      <c r="I182" s="192">
        <f t="shared" si="12"/>
        <v>1000</v>
      </c>
      <c r="J182" s="192">
        <f t="shared" si="12"/>
        <v>4600</v>
      </c>
      <c r="K182" s="192">
        <f t="shared" si="12"/>
        <v>0</v>
      </c>
      <c r="L182" s="192">
        <f>L82</f>
        <v>600</v>
      </c>
      <c r="M182" s="192">
        <f>M82</f>
        <v>500</v>
      </c>
      <c r="N182" s="185">
        <f>N82</f>
        <v>15600</v>
      </c>
      <c r="O182" s="141">
        <f t="shared" ref="O182:O186" si="13">N182-D182</f>
        <v>900</v>
      </c>
      <c r="P182" s="141">
        <f>P82</f>
        <v>1100</v>
      </c>
    </row>
    <row r="183" spans="1:16" x14ac:dyDescent="0.3">
      <c r="A183" s="141"/>
      <c r="B183" s="191" t="s">
        <v>244</v>
      </c>
      <c r="C183" s="192">
        <f>A118</f>
        <v>18</v>
      </c>
      <c r="D183" s="192">
        <f t="shared" ref="D183:K183" si="14">D118</f>
        <v>9975</v>
      </c>
      <c r="E183" s="192">
        <f t="shared" si="14"/>
        <v>600</v>
      </c>
      <c r="F183" s="192">
        <f t="shared" si="14"/>
        <v>3350</v>
      </c>
      <c r="G183" s="192">
        <f t="shared" si="14"/>
        <v>2600</v>
      </c>
      <c r="H183" s="192">
        <f t="shared" si="14"/>
        <v>200</v>
      </c>
      <c r="I183" s="192">
        <f t="shared" si="14"/>
        <v>650</v>
      </c>
      <c r="J183" s="192">
        <f t="shared" si="14"/>
        <v>1650</v>
      </c>
      <c r="K183" s="192">
        <f t="shared" si="14"/>
        <v>350</v>
      </c>
      <c r="L183" s="192">
        <f>L118</f>
        <v>350</v>
      </c>
      <c r="M183" s="192">
        <f>M118</f>
        <v>0</v>
      </c>
      <c r="N183" s="185">
        <f>N118</f>
        <v>9750</v>
      </c>
      <c r="O183" s="141">
        <f t="shared" si="13"/>
        <v>-225</v>
      </c>
      <c r="P183" s="141">
        <f>P118</f>
        <v>1000</v>
      </c>
    </row>
    <row r="184" spans="1:16" x14ac:dyDescent="0.3">
      <c r="A184" s="141"/>
      <c r="B184" s="191" t="s">
        <v>245</v>
      </c>
      <c r="C184" s="192">
        <f>A133</f>
        <v>12</v>
      </c>
      <c r="D184" s="192">
        <f>D133</f>
        <v>6900</v>
      </c>
      <c r="E184" s="192">
        <f t="shared" ref="E184:J184" si="15">E133</f>
        <v>600</v>
      </c>
      <c r="F184" s="192">
        <f t="shared" si="15"/>
        <v>1200</v>
      </c>
      <c r="G184" s="192">
        <f t="shared" si="15"/>
        <v>1800</v>
      </c>
      <c r="H184" s="192">
        <f t="shared" si="15"/>
        <v>600</v>
      </c>
      <c r="I184" s="192">
        <f t="shared" si="15"/>
        <v>200</v>
      </c>
      <c r="J184" s="192">
        <f t="shared" si="15"/>
        <v>2750</v>
      </c>
      <c r="K184" s="192">
        <f>K133</f>
        <v>0</v>
      </c>
      <c r="L184" s="192">
        <f>L133</f>
        <v>800</v>
      </c>
      <c r="M184" s="192">
        <f>M118</f>
        <v>0</v>
      </c>
      <c r="N184" s="185">
        <f>N133</f>
        <v>7150</v>
      </c>
      <c r="O184" s="141">
        <f t="shared" si="13"/>
        <v>250</v>
      </c>
      <c r="P184" s="141">
        <f>P133</f>
        <v>150</v>
      </c>
    </row>
    <row r="185" spans="1:16" x14ac:dyDescent="0.3">
      <c r="A185" s="141"/>
      <c r="B185" s="191" t="s">
        <v>332</v>
      </c>
      <c r="C185" s="192">
        <f>A148</f>
        <v>5</v>
      </c>
      <c r="D185" s="192">
        <f>D148</f>
        <v>2750</v>
      </c>
      <c r="E185" s="192"/>
      <c r="F185" s="192">
        <f t="shared" ref="F185:K185" si="16">F148</f>
        <v>600</v>
      </c>
      <c r="G185" s="192">
        <f t="shared" si="16"/>
        <v>0</v>
      </c>
      <c r="H185" s="192">
        <f t="shared" si="16"/>
        <v>600</v>
      </c>
      <c r="I185" s="192">
        <f t="shared" si="16"/>
        <v>1400</v>
      </c>
      <c r="J185" s="192">
        <f t="shared" si="16"/>
        <v>950</v>
      </c>
      <c r="K185" s="192">
        <f t="shared" si="16"/>
        <v>0</v>
      </c>
      <c r="L185" s="192">
        <f>L148</f>
        <v>0</v>
      </c>
      <c r="M185" s="192">
        <f>M148</f>
        <v>300</v>
      </c>
      <c r="N185" s="185">
        <f>N148</f>
        <v>3550</v>
      </c>
      <c r="O185" s="141">
        <f t="shared" si="13"/>
        <v>800</v>
      </c>
      <c r="P185" s="141">
        <f>P148</f>
        <v>550</v>
      </c>
    </row>
    <row r="186" spans="1:16" x14ac:dyDescent="0.3">
      <c r="A186" s="141"/>
      <c r="B186" s="187" t="s">
        <v>169</v>
      </c>
      <c r="C186" s="187">
        <f>SUM(C181:C185)</f>
        <v>90</v>
      </c>
      <c r="D186" s="187">
        <f>SUM(D181:D185)</f>
        <v>48500</v>
      </c>
      <c r="E186" s="187">
        <f>SUM(E181:E184)</f>
        <v>6665</v>
      </c>
      <c r="F186" s="187">
        <f t="shared" ref="F186:K186" si="17">SUM(F181:F185)</f>
        <v>12250</v>
      </c>
      <c r="G186" s="187">
        <f t="shared" si="17"/>
        <v>10450</v>
      </c>
      <c r="H186" s="187">
        <f t="shared" si="17"/>
        <v>2225</v>
      </c>
      <c r="I186" s="187">
        <f t="shared" si="17"/>
        <v>5200</v>
      </c>
      <c r="J186" s="187">
        <f t="shared" si="17"/>
        <v>13210</v>
      </c>
      <c r="K186" s="187">
        <f t="shared" si="17"/>
        <v>950</v>
      </c>
      <c r="L186" s="187">
        <f>SUM(L181:L185)</f>
        <v>2150</v>
      </c>
      <c r="M186" s="187">
        <f>SUM(M181:M185)</f>
        <v>1100</v>
      </c>
      <c r="N186" s="193">
        <f>SUM(E186:L186)</f>
        <v>53100</v>
      </c>
      <c r="O186" s="141">
        <f t="shared" si="13"/>
        <v>4600</v>
      </c>
      <c r="P186" s="144">
        <f>SUM(P181:P185)</f>
        <v>3750</v>
      </c>
    </row>
    <row r="187" spans="1:16" x14ac:dyDescent="0.3">
      <c r="A187" s="141"/>
      <c r="B187" s="143"/>
      <c r="C187" s="143"/>
      <c r="D187" s="143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</row>
    <row r="188" spans="1:16" x14ac:dyDescent="0.3">
      <c r="A188" s="141"/>
      <c r="B188" s="143"/>
      <c r="C188" s="143"/>
      <c r="D188" s="143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</row>
    <row r="189" spans="1:16" x14ac:dyDescent="0.3">
      <c r="A189" s="141"/>
      <c r="B189" s="143"/>
      <c r="C189" s="143"/>
      <c r="D189" s="143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</row>
    <row r="190" spans="1:16" x14ac:dyDescent="0.3">
      <c r="A190" s="141"/>
      <c r="B190" s="143"/>
      <c r="C190" s="143"/>
      <c r="D190" s="143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</row>
    <row r="191" spans="1:16" x14ac:dyDescent="0.3">
      <c r="A191" s="141"/>
      <c r="B191" s="143"/>
      <c r="C191" s="143"/>
      <c r="D191" s="143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</row>
    <row r="192" spans="1:16" x14ac:dyDescent="0.3">
      <c r="A192" s="141"/>
      <c r="B192" s="143"/>
      <c r="C192" s="143"/>
      <c r="D192" s="143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</row>
    <row r="193" spans="1:16" x14ac:dyDescent="0.3">
      <c r="A193" s="141"/>
      <c r="B193" s="143"/>
      <c r="C193" s="143"/>
      <c r="D193" s="143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</row>
    <row r="194" spans="1:16" x14ac:dyDescent="0.3">
      <c r="A194" s="141"/>
      <c r="B194" s="143"/>
      <c r="C194" s="143"/>
      <c r="D194" s="143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</row>
    <row r="195" spans="1:16" x14ac:dyDescent="0.3">
      <c r="A195" s="141"/>
      <c r="B195" s="143"/>
      <c r="C195" s="143"/>
      <c r="D195" s="143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</row>
    <row r="196" spans="1:16" x14ac:dyDescent="0.3">
      <c r="A196" s="141"/>
      <c r="B196" s="143"/>
      <c r="C196" s="143"/>
      <c r="D196" s="143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</row>
    <row r="197" spans="1:16" x14ac:dyDescent="0.3">
      <c r="A197" s="141"/>
      <c r="B197" s="143"/>
      <c r="C197" s="143"/>
      <c r="D197" s="143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</row>
    <row r="198" spans="1:16" x14ac:dyDescent="0.3">
      <c r="A198" s="141"/>
      <c r="B198" s="143"/>
      <c r="C198" s="143"/>
      <c r="D198" s="143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</row>
    <row r="199" spans="1:16" x14ac:dyDescent="0.3">
      <c r="A199" s="141"/>
      <c r="B199" s="143"/>
      <c r="C199" s="143"/>
      <c r="D199" s="143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</row>
    <row r="200" spans="1:16" x14ac:dyDescent="0.3">
      <c r="A200" s="141"/>
      <c r="B200" s="143"/>
      <c r="C200" s="143"/>
      <c r="D200" s="143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</row>
    <row r="201" spans="1:16" x14ac:dyDescent="0.3">
      <c r="A201" s="141"/>
      <c r="B201" s="143"/>
      <c r="C201" s="143"/>
      <c r="D201" s="143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</row>
    <row r="202" spans="1:16" x14ac:dyDescent="0.3">
      <c r="A202" s="141"/>
      <c r="B202" s="143"/>
      <c r="C202" s="143"/>
      <c r="D202" s="143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</row>
    <row r="203" spans="1:16" x14ac:dyDescent="0.3">
      <c r="A203" s="141"/>
      <c r="B203" s="143"/>
      <c r="C203" s="143"/>
      <c r="D203" s="143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</row>
    <row r="204" spans="1:16" x14ac:dyDescent="0.3">
      <c r="A204" s="141"/>
      <c r="B204" s="143"/>
      <c r="C204" s="143"/>
      <c r="D204" s="143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</row>
    <row r="205" spans="1:16" x14ac:dyDescent="0.3">
      <c r="A205" s="141"/>
      <c r="B205" s="143"/>
      <c r="C205" s="143"/>
      <c r="D205" s="143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</row>
    <row r="206" spans="1:16" x14ac:dyDescent="0.3">
      <c r="A206" s="141"/>
      <c r="B206" s="143"/>
      <c r="C206" s="143"/>
      <c r="D206" s="143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</row>
    <row r="207" spans="1:16" x14ac:dyDescent="0.3">
      <c r="A207" s="141"/>
      <c r="B207" s="143"/>
      <c r="C207" s="143"/>
      <c r="D207" s="143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</row>
    <row r="208" spans="1:16" x14ac:dyDescent="0.3">
      <c r="A208" s="141"/>
      <c r="B208" s="143"/>
      <c r="C208" s="143"/>
      <c r="D208" s="143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</row>
    <row r="209" spans="1:16" x14ac:dyDescent="0.3">
      <c r="A209" s="141"/>
      <c r="B209" s="143"/>
      <c r="C209" s="143"/>
      <c r="D209" s="143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</row>
    <row r="210" spans="1:16" x14ac:dyDescent="0.3">
      <c r="A210" s="141"/>
      <c r="B210" s="143"/>
      <c r="C210" s="143"/>
      <c r="D210" s="143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</row>
    <row r="211" spans="1:16" x14ac:dyDescent="0.3">
      <c r="A211" s="141"/>
      <c r="B211" s="143"/>
      <c r="C211" s="143"/>
      <c r="D211" s="143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</row>
    <row r="212" spans="1:16" x14ac:dyDescent="0.3">
      <c r="A212" s="141"/>
      <c r="B212" s="143"/>
      <c r="C212" s="143"/>
      <c r="D212" s="143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</row>
    <row r="213" spans="1:16" x14ac:dyDescent="0.3">
      <c r="A213" s="141"/>
      <c r="B213" s="143"/>
      <c r="C213" s="143"/>
      <c r="D213" s="143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</row>
    <row r="214" spans="1:16" x14ac:dyDescent="0.3">
      <c r="A214" s="141"/>
      <c r="B214" s="143"/>
      <c r="C214" s="143"/>
      <c r="D214" s="143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</row>
    <row r="215" spans="1:16" x14ac:dyDescent="0.3">
      <c r="A215" s="141"/>
      <c r="B215" s="143"/>
      <c r="C215" s="143"/>
      <c r="D215" s="143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</row>
    <row r="216" spans="1:16" x14ac:dyDescent="0.3">
      <c r="A216" s="141"/>
      <c r="B216" s="143"/>
      <c r="C216" s="143"/>
      <c r="D216" s="143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</row>
    <row r="217" spans="1:16" x14ac:dyDescent="0.3">
      <c r="A217" s="141"/>
      <c r="B217" s="143"/>
      <c r="C217" s="143"/>
      <c r="D217" s="143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</row>
    <row r="218" spans="1:16" x14ac:dyDescent="0.3">
      <c r="A218" s="141"/>
      <c r="B218" s="143"/>
      <c r="C218" s="143"/>
      <c r="D218" s="143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</row>
    <row r="219" spans="1:16" x14ac:dyDescent="0.3">
      <c r="A219" s="141"/>
      <c r="B219" s="143"/>
      <c r="C219" s="143"/>
      <c r="D219" s="143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</row>
    <row r="220" spans="1:16" x14ac:dyDescent="0.3">
      <c r="A220" s="141"/>
      <c r="B220" s="143"/>
      <c r="C220" s="143"/>
      <c r="D220" s="143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</row>
    <row r="221" spans="1:16" x14ac:dyDescent="0.3">
      <c r="A221" s="141"/>
      <c r="B221" s="143"/>
      <c r="C221" s="143"/>
      <c r="D221" s="143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</row>
    <row r="222" spans="1:16" x14ac:dyDescent="0.3">
      <c r="A222" s="141"/>
      <c r="B222" s="143"/>
      <c r="C222" s="143"/>
      <c r="D222" s="143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</row>
    <row r="223" spans="1:16" x14ac:dyDescent="0.3">
      <c r="A223" s="141"/>
      <c r="B223" s="143"/>
      <c r="C223" s="143"/>
      <c r="D223" s="143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</row>
    <row r="224" spans="1:16" x14ac:dyDescent="0.3">
      <c r="A224" s="141"/>
      <c r="B224" s="143"/>
      <c r="C224" s="143"/>
      <c r="D224" s="143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</row>
    <row r="225" spans="1:16" x14ac:dyDescent="0.3">
      <c r="A225" s="141"/>
      <c r="B225" s="143"/>
      <c r="C225" s="143"/>
      <c r="D225" s="143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</row>
    <row r="226" spans="1:16" x14ac:dyDescent="0.3">
      <c r="A226" s="141"/>
      <c r="B226" s="143"/>
      <c r="C226" s="143"/>
      <c r="D226" s="143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</row>
    <row r="227" spans="1:16" x14ac:dyDescent="0.3">
      <c r="A227" s="141"/>
      <c r="B227" s="143"/>
      <c r="C227" s="143"/>
      <c r="D227" s="143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</row>
    <row r="228" spans="1:16" x14ac:dyDescent="0.3">
      <c r="A228" s="141"/>
      <c r="B228" s="143"/>
      <c r="C228" s="143"/>
      <c r="D228" s="143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</row>
    <row r="229" spans="1:16" x14ac:dyDescent="0.3">
      <c r="A229" s="141"/>
      <c r="B229" s="143"/>
      <c r="C229" s="143"/>
      <c r="D229" s="143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</row>
    <row r="230" spans="1:16" x14ac:dyDescent="0.3">
      <c r="A230" s="141"/>
      <c r="B230" s="143"/>
      <c r="C230" s="143"/>
      <c r="D230" s="143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</row>
    <row r="231" spans="1:16" x14ac:dyDescent="0.3">
      <c r="A231" s="141"/>
      <c r="B231" s="143"/>
      <c r="C231" s="143"/>
      <c r="D231" s="143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</row>
    <row r="232" spans="1:16" x14ac:dyDescent="0.3">
      <c r="A232" s="141"/>
      <c r="B232" s="143"/>
      <c r="C232" s="143"/>
      <c r="D232" s="143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</row>
    <row r="233" spans="1:16" x14ac:dyDescent="0.3">
      <c r="A233" s="141"/>
      <c r="B233" s="143"/>
      <c r="C233" s="143"/>
      <c r="D233" s="143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</row>
    <row r="234" spans="1:16" x14ac:dyDescent="0.3">
      <c r="A234" s="141"/>
      <c r="B234" s="143"/>
      <c r="C234" s="143"/>
      <c r="D234" s="143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</row>
    <row r="235" spans="1:16" x14ac:dyDescent="0.3">
      <c r="A235" s="141"/>
      <c r="B235" s="143"/>
      <c r="C235" s="143"/>
      <c r="D235" s="143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</row>
    <row r="236" spans="1:16" x14ac:dyDescent="0.3">
      <c r="A236" s="141"/>
      <c r="B236" s="143"/>
      <c r="C236" s="143"/>
      <c r="D236" s="143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</row>
    <row r="237" spans="1:16" x14ac:dyDescent="0.3">
      <c r="A237" s="141"/>
      <c r="B237" s="143"/>
      <c r="C237" s="143"/>
      <c r="D237" s="143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</row>
    <row r="238" spans="1:16" x14ac:dyDescent="0.3">
      <c r="A238" s="141"/>
      <c r="B238" s="143"/>
      <c r="C238" s="143"/>
      <c r="D238" s="143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</row>
    <row r="239" spans="1:16" x14ac:dyDescent="0.3">
      <c r="A239" s="141"/>
      <c r="B239" s="143"/>
      <c r="C239" s="143"/>
      <c r="D239" s="143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</row>
    <row r="240" spans="1:16" x14ac:dyDescent="0.3">
      <c r="A240" s="141"/>
      <c r="B240" s="143"/>
      <c r="C240" s="143"/>
      <c r="D240" s="143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</row>
    <row r="241" spans="1:16" x14ac:dyDescent="0.3">
      <c r="A241" s="141"/>
      <c r="B241" s="143"/>
      <c r="C241" s="143"/>
      <c r="D241" s="143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</row>
    <row r="242" spans="1:16" x14ac:dyDescent="0.3">
      <c r="A242" s="141"/>
      <c r="B242" s="143"/>
      <c r="C242" s="143"/>
      <c r="D242" s="143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</row>
    <row r="243" spans="1:16" x14ac:dyDescent="0.3">
      <c r="A243" s="141"/>
      <c r="B243" s="143"/>
      <c r="C243" s="143"/>
      <c r="D243" s="143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</row>
    <row r="244" spans="1:16" x14ac:dyDescent="0.3">
      <c r="A244" s="141"/>
      <c r="B244" s="143"/>
      <c r="C244" s="143"/>
      <c r="D244" s="143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</row>
    <row r="245" spans="1:16" x14ac:dyDescent="0.3">
      <c r="A245" s="141"/>
      <c r="B245" s="143"/>
      <c r="C245" s="143"/>
      <c r="D245" s="143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</row>
    <row r="246" spans="1:16" x14ac:dyDescent="0.3">
      <c r="A246" s="141"/>
      <c r="B246" s="143"/>
      <c r="C246" s="143"/>
      <c r="D246" s="143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</row>
    <row r="247" spans="1:16" x14ac:dyDescent="0.3">
      <c r="A247" s="141"/>
      <c r="B247" s="143"/>
      <c r="C247" s="143"/>
      <c r="D247" s="143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</row>
    <row r="248" spans="1:16" x14ac:dyDescent="0.3">
      <c r="A248" s="141"/>
      <c r="B248" s="143"/>
      <c r="C248" s="143"/>
      <c r="D248" s="143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</row>
    <row r="249" spans="1:16" x14ac:dyDescent="0.3">
      <c r="A249" s="141"/>
      <c r="B249" s="143"/>
      <c r="C249" s="143"/>
      <c r="D249" s="143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</row>
    <row r="250" spans="1:16" x14ac:dyDescent="0.3">
      <c r="A250" s="141"/>
      <c r="B250" s="143"/>
      <c r="C250" s="143"/>
      <c r="D250" s="143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</row>
    <row r="251" spans="1:16" x14ac:dyDescent="0.3">
      <c r="A251" s="141"/>
      <c r="B251" s="143"/>
      <c r="C251" s="143"/>
      <c r="D251" s="143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</row>
    <row r="252" spans="1:16" x14ac:dyDescent="0.3">
      <c r="A252" s="141"/>
      <c r="B252" s="143"/>
      <c r="C252" s="143"/>
      <c r="D252" s="143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</row>
    <row r="253" spans="1:16" x14ac:dyDescent="0.3">
      <c r="A253" s="141"/>
      <c r="B253" s="143"/>
      <c r="C253" s="143"/>
      <c r="D253" s="143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</row>
    <row r="254" spans="1:16" x14ac:dyDescent="0.3">
      <c r="A254" s="141"/>
      <c r="B254" s="143"/>
      <c r="C254" s="143"/>
      <c r="D254" s="143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</row>
    <row r="255" spans="1:16" x14ac:dyDescent="0.3">
      <c r="A255" s="141"/>
      <c r="B255" s="143"/>
      <c r="C255" s="143"/>
      <c r="D255" s="143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</row>
    <row r="256" spans="1:16" x14ac:dyDescent="0.3">
      <c r="A256" s="141"/>
      <c r="B256" s="143"/>
      <c r="C256" s="143"/>
      <c r="D256" s="143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</row>
    <row r="257" spans="1:16" x14ac:dyDescent="0.3">
      <c r="A257" s="141"/>
      <c r="B257" s="143"/>
      <c r="C257" s="143"/>
      <c r="D257" s="143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</row>
    <row r="258" spans="1:16" x14ac:dyDescent="0.3">
      <c r="A258" s="141"/>
      <c r="B258" s="143"/>
      <c r="C258" s="143"/>
      <c r="D258" s="143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</row>
    <row r="259" spans="1:16" x14ac:dyDescent="0.3">
      <c r="A259" s="141"/>
      <c r="B259" s="143"/>
      <c r="C259" s="143"/>
      <c r="D259" s="143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</row>
    <row r="260" spans="1:16" x14ac:dyDescent="0.3">
      <c r="A260" s="141"/>
      <c r="B260" s="143"/>
      <c r="C260" s="143"/>
      <c r="D260" s="143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</row>
    <row r="261" spans="1:16" x14ac:dyDescent="0.3">
      <c r="A261" s="141"/>
      <c r="B261" s="143"/>
      <c r="C261" s="143"/>
      <c r="D261" s="143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</row>
    <row r="262" spans="1:16" x14ac:dyDescent="0.3">
      <c r="A262" s="141"/>
      <c r="B262" s="143"/>
      <c r="C262" s="143"/>
      <c r="D262" s="143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</row>
    <row r="263" spans="1:16" x14ac:dyDescent="0.3">
      <c r="A263" s="141"/>
      <c r="B263" s="143"/>
      <c r="C263" s="143"/>
      <c r="D263" s="143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</row>
    <row r="264" spans="1:16" x14ac:dyDescent="0.3">
      <c r="A264" s="141"/>
      <c r="B264" s="143"/>
      <c r="C264" s="143"/>
      <c r="D264" s="143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</row>
    <row r="265" spans="1:16" x14ac:dyDescent="0.3">
      <c r="A265" s="141"/>
      <c r="B265" s="143"/>
      <c r="C265" s="143"/>
      <c r="D265" s="143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</row>
    <row r="266" spans="1:16" x14ac:dyDescent="0.3">
      <c r="A266" s="141"/>
      <c r="B266" s="143"/>
      <c r="C266" s="143"/>
      <c r="D266" s="143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</row>
    <row r="267" spans="1:16" x14ac:dyDescent="0.3">
      <c r="A267" s="141"/>
      <c r="B267" s="143"/>
      <c r="C267" s="143"/>
      <c r="D267" s="143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</row>
    <row r="268" spans="1:16" x14ac:dyDescent="0.3">
      <c r="A268" s="141"/>
      <c r="B268" s="143"/>
      <c r="C268" s="143"/>
      <c r="D268" s="143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</row>
    <row r="269" spans="1:16" x14ac:dyDescent="0.3">
      <c r="A269" s="141"/>
      <c r="B269" s="143"/>
      <c r="C269" s="143"/>
      <c r="D269" s="143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</row>
    <row r="270" spans="1:16" x14ac:dyDescent="0.3">
      <c r="A270" s="141"/>
      <c r="B270" s="143"/>
      <c r="C270" s="143"/>
      <c r="D270" s="143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</row>
    <row r="271" spans="1:16" x14ac:dyDescent="0.3">
      <c r="A271" s="141"/>
      <c r="B271" s="143"/>
      <c r="C271" s="143"/>
      <c r="D271" s="143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</row>
    <row r="272" spans="1:16" x14ac:dyDescent="0.3">
      <c r="A272" s="141"/>
      <c r="B272" s="143"/>
      <c r="C272" s="143"/>
      <c r="D272" s="143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</row>
    <row r="273" spans="1:16" x14ac:dyDescent="0.3">
      <c r="A273" s="141"/>
      <c r="B273" s="143"/>
      <c r="C273" s="143"/>
      <c r="D273" s="143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</row>
    <row r="274" spans="1:16" x14ac:dyDescent="0.3">
      <c r="A274" s="141"/>
      <c r="B274" s="143"/>
      <c r="C274" s="143"/>
      <c r="D274" s="143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</row>
    <row r="275" spans="1:16" x14ac:dyDescent="0.3">
      <c r="A275" s="141"/>
      <c r="B275" s="143"/>
      <c r="C275" s="143"/>
      <c r="D275" s="143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</row>
    <row r="276" spans="1:16" x14ac:dyDescent="0.3">
      <c r="A276" s="141"/>
      <c r="B276" s="143"/>
      <c r="C276" s="143"/>
      <c r="D276" s="143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</row>
    <row r="277" spans="1:16" x14ac:dyDescent="0.3">
      <c r="A277" s="141"/>
      <c r="B277" s="143"/>
      <c r="C277" s="143"/>
      <c r="D277" s="143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</row>
    <row r="278" spans="1:16" x14ac:dyDescent="0.3">
      <c r="A278" s="141"/>
      <c r="B278" s="143"/>
      <c r="C278" s="143"/>
      <c r="D278" s="143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</row>
    <row r="279" spans="1:16" x14ac:dyDescent="0.3">
      <c r="A279" s="141"/>
      <c r="B279" s="143"/>
      <c r="C279" s="143"/>
      <c r="D279" s="143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</row>
    <row r="280" spans="1:16" x14ac:dyDescent="0.3">
      <c r="A280" s="141"/>
      <c r="B280" s="143"/>
      <c r="C280" s="143"/>
      <c r="D280" s="143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</row>
    <row r="281" spans="1:16" x14ac:dyDescent="0.3">
      <c r="A281" s="141"/>
      <c r="B281" s="143"/>
      <c r="C281" s="143"/>
      <c r="D281" s="143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</row>
    <row r="282" spans="1:16" x14ac:dyDescent="0.3">
      <c r="A282" s="141"/>
      <c r="B282" s="143"/>
      <c r="C282" s="143"/>
      <c r="D282" s="143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</row>
    <row r="283" spans="1:16" x14ac:dyDescent="0.3">
      <c r="A283" s="141"/>
      <c r="B283" s="143"/>
      <c r="C283" s="143"/>
      <c r="D283" s="143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</row>
    <row r="284" spans="1:16" x14ac:dyDescent="0.3">
      <c r="A284" s="141"/>
      <c r="B284" s="143"/>
      <c r="C284" s="143"/>
      <c r="D284" s="143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</row>
    <row r="285" spans="1:16" x14ac:dyDescent="0.3">
      <c r="A285" s="141"/>
      <c r="B285" s="143"/>
      <c r="C285" s="143"/>
      <c r="D285" s="143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</row>
    <row r="286" spans="1:16" x14ac:dyDescent="0.3">
      <c r="A286" s="141"/>
      <c r="B286" s="143"/>
      <c r="C286" s="143"/>
      <c r="D286" s="143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</row>
    <row r="287" spans="1:16" x14ac:dyDescent="0.3">
      <c r="A287" s="141"/>
      <c r="B287" s="143"/>
      <c r="C287" s="143"/>
      <c r="D287" s="143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</row>
    <row r="288" spans="1:16" x14ac:dyDescent="0.3">
      <c r="A288" s="141"/>
      <c r="B288" s="143"/>
      <c r="C288" s="143"/>
      <c r="D288" s="143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</row>
    <row r="289" spans="1:16" x14ac:dyDescent="0.3">
      <c r="A289" s="141"/>
      <c r="B289" s="143"/>
      <c r="C289" s="143"/>
      <c r="D289" s="143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</row>
    <row r="290" spans="1:16" x14ac:dyDescent="0.3">
      <c r="A290" s="141"/>
      <c r="B290" s="143"/>
      <c r="C290" s="143"/>
      <c r="D290" s="143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</row>
    <row r="291" spans="1:16" x14ac:dyDescent="0.3">
      <c r="A291" s="141"/>
      <c r="B291" s="143"/>
      <c r="C291" s="143"/>
      <c r="D291" s="143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</row>
    <row r="292" spans="1:16" x14ac:dyDescent="0.3">
      <c r="A292" s="141"/>
      <c r="B292" s="143"/>
      <c r="C292" s="143"/>
      <c r="D292" s="143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</row>
    <row r="293" spans="1:16" x14ac:dyDescent="0.3">
      <c r="A293" s="141"/>
      <c r="B293" s="143"/>
      <c r="C293" s="143"/>
      <c r="D293" s="143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</row>
    <row r="294" spans="1:16" x14ac:dyDescent="0.3">
      <c r="A294" s="141"/>
      <c r="B294" s="143"/>
      <c r="C294" s="143"/>
      <c r="D294" s="143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</row>
    <row r="295" spans="1:16" x14ac:dyDescent="0.3">
      <c r="A295" s="141"/>
      <c r="B295" s="143"/>
      <c r="C295" s="143"/>
      <c r="D295" s="143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</row>
    <row r="296" spans="1:16" x14ac:dyDescent="0.3">
      <c r="A296" s="141"/>
      <c r="B296" s="143"/>
      <c r="C296" s="143"/>
      <c r="D296" s="143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</row>
    <row r="297" spans="1:16" x14ac:dyDescent="0.3">
      <c r="A297" s="141"/>
      <c r="B297" s="143"/>
      <c r="C297" s="143"/>
      <c r="D297" s="143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</row>
    <row r="298" spans="1:16" x14ac:dyDescent="0.3">
      <c r="A298" s="141"/>
      <c r="B298" s="143"/>
      <c r="C298" s="143"/>
      <c r="D298" s="143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</row>
    <row r="299" spans="1:16" x14ac:dyDescent="0.3">
      <c r="A299" s="141"/>
      <c r="B299" s="143"/>
      <c r="C299" s="143"/>
      <c r="D299" s="143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</row>
    <row r="300" spans="1:16" x14ac:dyDescent="0.3">
      <c r="A300" s="141"/>
      <c r="B300" s="143"/>
      <c r="C300" s="143"/>
      <c r="D300" s="143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</row>
    <row r="301" spans="1:16" x14ac:dyDescent="0.3">
      <c r="A301" s="141"/>
      <c r="B301" s="143"/>
      <c r="C301" s="143"/>
      <c r="D301" s="143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</row>
    <row r="302" spans="1:16" x14ac:dyDescent="0.3">
      <c r="A302" s="141"/>
      <c r="B302" s="143"/>
      <c r="C302" s="143"/>
      <c r="D302" s="143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</row>
    <row r="303" spans="1:16" x14ac:dyDescent="0.3">
      <c r="A303" s="141"/>
      <c r="B303" s="143"/>
      <c r="C303" s="143"/>
      <c r="D303" s="143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</row>
    <row r="304" spans="1:16" x14ac:dyDescent="0.3">
      <c r="A304" s="141"/>
      <c r="B304" s="143"/>
      <c r="C304" s="143"/>
      <c r="D304" s="143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</row>
    <row r="305" spans="1:16" x14ac:dyDescent="0.3">
      <c r="A305" s="141"/>
      <c r="B305" s="143"/>
      <c r="C305" s="143"/>
      <c r="D305" s="143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</row>
    <row r="306" spans="1:16" x14ac:dyDescent="0.3">
      <c r="A306" s="141"/>
      <c r="B306" s="143"/>
      <c r="C306" s="143"/>
      <c r="D306" s="143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</row>
    <row r="307" spans="1:16" x14ac:dyDescent="0.3">
      <c r="A307" s="141"/>
      <c r="B307" s="143"/>
      <c r="C307" s="143"/>
      <c r="D307" s="143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</row>
    <row r="308" spans="1:16" x14ac:dyDescent="0.3">
      <c r="A308" s="141"/>
      <c r="B308" s="143"/>
      <c r="C308" s="143"/>
      <c r="D308" s="143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</row>
    <row r="309" spans="1:16" x14ac:dyDescent="0.3">
      <c r="A309" s="141"/>
      <c r="B309" s="143"/>
      <c r="C309" s="143"/>
      <c r="D309" s="143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</row>
    <row r="310" spans="1:16" x14ac:dyDescent="0.3">
      <c r="A310" s="141"/>
      <c r="B310" s="143"/>
      <c r="C310" s="143"/>
      <c r="D310" s="143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</row>
    <row r="311" spans="1:16" x14ac:dyDescent="0.3">
      <c r="A311" s="141"/>
      <c r="B311" s="143"/>
      <c r="C311" s="143"/>
      <c r="D311" s="143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</row>
    <row r="312" spans="1:16" x14ac:dyDescent="0.3">
      <c r="A312" s="141"/>
      <c r="B312" s="143"/>
      <c r="C312" s="143"/>
      <c r="D312" s="143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</row>
    <row r="313" spans="1:16" x14ac:dyDescent="0.3">
      <c r="A313" s="141"/>
      <c r="B313" s="143"/>
      <c r="C313" s="143"/>
      <c r="D313" s="143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</row>
    <row r="314" spans="1:16" x14ac:dyDescent="0.3">
      <c r="A314" s="141"/>
      <c r="B314" s="143"/>
      <c r="C314" s="143"/>
      <c r="D314" s="143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</row>
    <row r="315" spans="1:16" x14ac:dyDescent="0.3">
      <c r="A315" s="141"/>
      <c r="B315" s="143"/>
      <c r="C315" s="143"/>
      <c r="D315" s="143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</row>
    <row r="316" spans="1:16" x14ac:dyDescent="0.3">
      <c r="A316" s="141"/>
      <c r="B316" s="143"/>
      <c r="C316" s="143"/>
      <c r="D316" s="143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</row>
    <row r="317" spans="1:16" x14ac:dyDescent="0.3">
      <c r="A317" s="141"/>
      <c r="B317" s="143"/>
      <c r="C317" s="143"/>
      <c r="D317" s="143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</row>
    <row r="318" spans="1:16" x14ac:dyDescent="0.3">
      <c r="A318" s="141"/>
      <c r="B318" s="143"/>
      <c r="C318" s="143"/>
      <c r="D318" s="143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</row>
    <row r="319" spans="1:16" x14ac:dyDescent="0.3">
      <c r="A319" s="141"/>
      <c r="B319" s="143"/>
      <c r="C319" s="143"/>
      <c r="D319" s="143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</row>
    <row r="320" spans="1:16" x14ac:dyDescent="0.3">
      <c r="A320" s="141"/>
      <c r="B320" s="143"/>
      <c r="C320" s="143"/>
      <c r="D320" s="143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</row>
    <row r="321" spans="1:16" x14ac:dyDescent="0.3">
      <c r="A321" s="141"/>
      <c r="B321" s="143"/>
      <c r="C321" s="143"/>
      <c r="D321" s="143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</row>
    <row r="322" spans="1:16" x14ac:dyDescent="0.3">
      <c r="A322" s="141"/>
      <c r="B322" s="143"/>
      <c r="C322" s="143"/>
      <c r="D322" s="143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</row>
    <row r="323" spans="1:16" x14ac:dyDescent="0.3">
      <c r="A323" s="141"/>
      <c r="B323" s="143"/>
      <c r="C323" s="143"/>
      <c r="D323" s="143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</row>
    <row r="324" spans="1:16" x14ac:dyDescent="0.3">
      <c r="A324" s="141"/>
      <c r="B324" s="143"/>
      <c r="C324" s="143"/>
      <c r="D324" s="143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</row>
    <row r="325" spans="1:16" x14ac:dyDescent="0.3">
      <c r="A325" s="141"/>
      <c r="B325" s="143"/>
      <c r="C325" s="143"/>
      <c r="D325" s="143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</row>
    <row r="326" spans="1:16" x14ac:dyDescent="0.3">
      <c r="A326" s="141"/>
      <c r="B326" s="143"/>
      <c r="C326" s="143"/>
      <c r="D326" s="143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</row>
    <row r="327" spans="1:16" x14ac:dyDescent="0.3">
      <c r="A327" s="141"/>
      <c r="B327" s="143"/>
      <c r="C327" s="143"/>
      <c r="D327" s="143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</row>
    <row r="328" spans="1:16" x14ac:dyDescent="0.3">
      <c r="A328" s="141"/>
      <c r="B328" s="143"/>
      <c r="C328" s="143"/>
      <c r="D328" s="143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</row>
    <row r="329" spans="1:16" x14ac:dyDescent="0.3">
      <c r="A329" s="141"/>
      <c r="B329" s="143"/>
      <c r="C329" s="143"/>
      <c r="D329" s="143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</row>
    <row r="330" spans="1:16" x14ac:dyDescent="0.3">
      <c r="A330" s="141"/>
      <c r="B330" s="143"/>
      <c r="C330" s="143"/>
      <c r="D330" s="143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</row>
    <row r="331" spans="1:16" x14ac:dyDescent="0.3">
      <c r="A331" s="141"/>
      <c r="B331" s="143"/>
      <c r="C331" s="143"/>
      <c r="D331" s="143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</row>
    <row r="332" spans="1:16" x14ac:dyDescent="0.3">
      <c r="A332" s="141"/>
      <c r="B332" s="143"/>
      <c r="C332" s="143"/>
      <c r="D332" s="143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</row>
    <row r="333" spans="1:16" x14ac:dyDescent="0.3">
      <c r="A333" s="141"/>
      <c r="B333" s="143"/>
      <c r="C333" s="143"/>
      <c r="D333" s="143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</row>
    <row r="334" spans="1:16" x14ac:dyDescent="0.3">
      <c r="A334" s="141"/>
      <c r="B334" s="143"/>
      <c r="C334" s="143"/>
      <c r="D334" s="143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</row>
    <row r="335" spans="1:16" x14ac:dyDescent="0.3">
      <c r="A335" s="141"/>
      <c r="B335" s="143"/>
      <c r="C335" s="143"/>
      <c r="D335" s="143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</row>
    <row r="336" spans="1:16" x14ac:dyDescent="0.3">
      <c r="A336" s="141"/>
      <c r="B336" s="143"/>
      <c r="C336" s="143"/>
      <c r="D336" s="143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</row>
    <row r="337" spans="1:16" x14ac:dyDescent="0.3">
      <c r="A337" s="141"/>
      <c r="B337" s="143"/>
      <c r="C337" s="143"/>
      <c r="D337" s="143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</row>
    <row r="338" spans="1:16" x14ac:dyDescent="0.3">
      <c r="A338" s="141"/>
      <c r="B338" s="143"/>
      <c r="C338" s="143"/>
      <c r="D338" s="143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</row>
    <row r="339" spans="1:16" x14ac:dyDescent="0.3">
      <c r="A339" s="141"/>
      <c r="B339" s="143"/>
      <c r="C339" s="143"/>
      <c r="D339" s="143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</row>
    <row r="340" spans="1:16" x14ac:dyDescent="0.3">
      <c r="A340" s="141"/>
      <c r="B340" s="143"/>
      <c r="C340" s="143"/>
      <c r="D340" s="143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</row>
    <row r="341" spans="1:16" x14ac:dyDescent="0.3">
      <c r="A341" s="141"/>
      <c r="B341" s="143"/>
      <c r="C341" s="143"/>
      <c r="D341" s="143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</row>
    <row r="342" spans="1:16" x14ac:dyDescent="0.3">
      <c r="A342" s="141"/>
      <c r="B342" s="143"/>
      <c r="C342" s="143"/>
      <c r="D342" s="143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</row>
    <row r="343" spans="1:16" x14ac:dyDescent="0.3">
      <c r="A343" s="141"/>
      <c r="B343" s="143"/>
      <c r="C343" s="143"/>
      <c r="D343" s="143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</row>
    <row r="344" spans="1:16" x14ac:dyDescent="0.3">
      <c r="A344" s="141"/>
      <c r="B344" s="143"/>
      <c r="C344" s="143"/>
      <c r="D344" s="143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</row>
  </sheetData>
  <pageMargins left="0.70866141732283472" right="0.70866141732283472" top="0.35433070866141736" bottom="0.35433070866141736" header="0.31496062992125984" footer="0.31496062992125984"/>
  <pageSetup scale="83" orientation="landscape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9188-4073-4F72-A058-C83DB5CBF0AF}">
  <dimension ref="A1:E124"/>
  <sheetViews>
    <sheetView tabSelected="1" view="pageBreakPreview" topLeftCell="A80" zoomScale="115" zoomScaleNormal="111" workbookViewId="0">
      <selection activeCell="G17" sqref="G17"/>
    </sheetView>
  </sheetViews>
  <sheetFormatPr baseColWidth="10" defaultColWidth="11.5703125" defaultRowHeight="17.25" x14ac:dyDescent="0.3"/>
  <cols>
    <col min="1" max="1" width="5.7109375" style="7" customWidth="1"/>
    <col min="2" max="2" width="28" style="7" customWidth="1"/>
    <col min="3" max="3" width="24.42578125" style="7" customWidth="1"/>
    <col min="4" max="4" width="17.85546875" style="7" customWidth="1"/>
    <col min="5" max="16384" width="11.5703125" style="7"/>
  </cols>
  <sheetData>
    <row r="1" spans="1:4" x14ac:dyDescent="0.3">
      <c r="A1" s="101" t="s">
        <v>406</v>
      </c>
    </row>
    <row r="3" spans="1:4" x14ac:dyDescent="0.3">
      <c r="A3" s="101" t="s">
        <v>407</v>
      </c>
    </row>
    <row r="5" spans="1:4" ht="30" x14ac:dyDescent="0.3">
      <c r="A5" s="18" t="s">
        <v>48</v>
      </c>
      <c r="B5" s="18" t="s">
        <v>40</v>
      </c>
      <c r="C5" s="18" t="s">
        <v>41</v>
      </c>
      <c r="D5" s="18" t="s">
        <v>144</v>
      </c>
    </row>
    <row r="6" spans="1:4" ht="18.600000000000001" customHeight="1" x14ac:dyDescent="0.3">
      <c r="A6" s="9">
        <v>1</v>
      </c>
      <c r="B6" s="84" t="s">
        <v>2</v>
      </c>
      <c r="C6" s="84" t="s">
        <v>3</v>
      </c>
      <c r="D6" s="36">
        <v>40909</v>
      </c>
    </row>
    <row r="7" spans="1:4" ht="18.600000000000001" customHeight="1" x14ac:dyDescent="0.3">
      <c r="A7" s="9">
        <v>2</v>
      </c>
      <c r="B7" s="84" t="s">
        <v>5</v>
      </c>
      <c r="C7" s="84" t="s">
        <v>6</v>
      </c>
      <c r="D7" s="36">
        <v>40591</v>
      </c>
    </row>
    <row r="8" spans="1:4" ht="18.600000000000001" customHeight="1" x14ac:dyDescent="0.3">
      <c r="A8" s="9">
        <v>3</v>
      </c>
      <c r="B8" s="84" t="s">
        <v>7</v>
      </c>
      <c r="C8" s="84" t="s">
        <v>8</v>
      </c>
      <c r="D8" s="36">
        <v>40766</v>
      </c>
    </row>
    <row r="9" spans="1:4" ht="18.600000000000001" customHeight="1" x14ac:dyDescent="0.3">
      <c r="A9" s="9">
        <v>4</v>
      </c>
      <c r="B9" s="84" t="s">
        <v>9</v>
      </c>
      <c r="C9" s="84" t="s">
        <v>10</v>
      </c>
      <c r="D9" s="36">
        <v>41068</v>
      </c>
    </row>
    <row r="10" spans="1:4" ht="18.600000000000001" customHeight="1" x14ac:dyDescent="0.3">
      <c r="A10" s="9">
        <v>5</v>
      </c>
      <c r="B10" s="84" t="s">
        <v>11</v>
      </c>
      <c r="C10" s="84" t="s">
        <v>12</v>
      </c>
      <c r="D10" s="36">
        <v>41048</v>
      </c>
    </row>
    <row r="11" spans="1:4" ht="18.600000000000001" customHeight="1" x14ac:dyDescent="0.3">
      <c r="A11" s="9">
        <v>6</v>
      </c>
      <c r="B11" s="84" t="s">
        <v>13</v>
      </c>
      <c r="C11" s="84" t="s">
        <v>14</v>
      </c>
      <c r="D11" s="36">
        <v>41145</v>
      </c>
    </row>
    <row r="12" spans="1:4" ht="18.600000000000001" customHeight="1" x14ac:dyDescent="0.3">
      <c r="A12" s="9">
        <v>7</v>
      </c>
      <c r="B12" s="84" t="s">
        <v>368</v>
      </c>
      <c r="C12" s="84" t="s">
        <v>195</v>
      </c>
      <c r="D12" s="36">
        <v>40624</v>
      </c>
    </row>
    <row r="13" spans="1:4" ht="18.600000000000001" customHeight="1" x14ac:dyDescent="0.3">
      <c r="A13" s="9">
        <v>8</v>
      </c>
      <c r="B13" s="40" t="s">
        <v>15</v>
      </c>
      <c r="C13" s="40" t="s">
        <v>329</v>
      </c>
      <c r="D13" s="36">
        <v>40845</v>
      </c>
    </row>
    <row r="14" spans="1:4" ht="18.600000000000001" customHeight="1" x14ac:dyDescent="0.3">
      <c r="A14" s="9">
        <v>9</v>
      </c>
      <c r="B14" s="84" t="s">
        <v>16</v>
      </c>
      <c r="C14" s="84" t="s">
        <v>17</v>
      </c>
      <c r="D14" s="36">
        <v>40451</v>
      </c>
    </row>
    <row r="15" spans="1:4" ht="18.600000000000001" customHeight="1" x14ac:dyDescent="0.3">
      <c r="A15" s="9">
        <v>10</v>
      </c>
      <c r="B15" s="84" t="s">
        <v>18</v>
      </c>
      <c r="C15" s="84" t="s">
        <v>19</v>
      </c>
      <c r="D15" s="36">
        <v>41011</v>
      </c>
    </row>
    <row r="16" spans="1:4" ht="18.600000000000001" customHeight="1" x14ac:dyDescent="0.3">
      <c r="A16" s="9">
        <v>11</v>
      </c>
      <c r="B16" s="84" t="s">
        <v>172</v>
      </c>
      <c r="C16" s="84" t="s">
        <v>24</v>
      </c>
      <c r="D16" s="36">
        <v>41018</v>
      </c>
    </row>
    <row r="17" spans="1:4" ht="18.600000000000001" customHeight="1" x14ac:dyDescent="0.3">
      <c r="A17" s="9">
        <v>12</v>
      </c>
      <c r="B17" s="84" t="s">
        <v>25</v>
      </c>
      <c r="C17" s="84" t="s">
        <v>26</v>
      </c>
      <c r="D17" s="36">
        <v>40784</v>
      </c>
    </row>
    <row r="18" spans="1:4" ht="18.600000000000001" customHeight="1" x14ac:dyDescent="0.3">
      <c r="A18" s="9">
        <v>13</v>
      </c>
      <c r="B18" s="84" t="s">
        <v>27</v>
      </c>
      <c r="C18" s="84" t="s">
        <v>330</v>
      </c>
      <c r="D18" s="36">
        <v>40595</v>
      </c>
    </row>
    <row r="19" spans="1:4" ht="18.600000000000001" customHeight="1" x14ac:dyDescent="0.3">
      <c r="A19" s="9">
        <v>14</v>
      </c>
      <c r="B19" s="84" t="s">
        <v>29</v>
      </c>
      <c r="C19" s="84" t="s">
        <v>137</v>
      </c>
      <c r="D19" s="42">
        <v>40992</v>
      </c>
    </row>
    <row r="20" spans="1:4" ht="18.600000000000001" customHeight="1" x14ac:dyDescent="0.3">
      <c r="A20" s="9">
        <v>15</v>
      </c>
      <c r="B20" s="84" t="s">
        <v>30</v>
      </c>
      <c r="C20" s="84" t="s">
        <v>31</v>
      </c>
      <c r="D20" s="42">
        <v>40645</v>
      </c>
    </row>
    <row r="21" spans="1:4" ht="18.600000000000001" customHeight="1" x14ac:dyDescent="0.3">
      <c r="A21" s="9">
        <v>16</v>
      </c>
      <c r="B21" s="40" t="s">
        <v>32</v>
      </c>
      <c r="C21" s="40" t="s">
        <v>33</v>
      </c>
      <c r="D21" s="42">
        <v>40934</v>
      </c>
    </row>
    <row r="22" spans="1:4" ht="18.600000000000001" customHeight="1" x14ac:dyDescent="0.3">
      <c r="A22" s="9">
        <v>17</v>
      </c>
      <c r="B22" s="40" t="s">
        <v>185</v>
      </c>
      <c r="C22" s="40" t="s">
        <v>186</v>
      </c>
      <c r="D22" s="42">
        <v>40665</v>
      </c>
    </row>
    <row r="23" spans="1:4" ht="18.600000000000001" customHeight="1" x14ac:dyDescent="0.3">
      <c r="A23" s="9">
        <v>18</v>
      </c>
      <c r="B23" s="40" t="s">
        <v>36</v>
      </c>
      <c r="C23" s="40" t="s">
        <v>331</v>
      </c>
      <c r="D23" s="42">
        <v>40661</v>
      </c>
    </row>
    <row r="24" spans="1:4" ht="18.600000000000001" customHeight="1" x14ac:dyDescent="0.3">
      <c r="A24" s="9">
        <v>19</v>
      </c>
      <c r="B24" s="40" t="s">
        <v>142</v>
      </c>
      <c r="C24" s="40" t="s">
        <v>39</v>
      </c>
      <c r="D24" s="42">
        <v>39800</v>
      </c>
    </row>
    <row r="25" spans="1:4" ht="18.600000000000001" customHeight="1" x14ac:dyDescent="0.3">
      <c r="A25" s="53">
        <v>20</v>
      </c>
      <c r="B25" s="97" t="s">
        <v>378</v>
      </c>
      <c r="C25" s="97" t="s">
        <v>379</v>
      </c>
      <c r="D25" s="91">
        <v>41491</v>
      </c>
    </row>
    <row r="26" spans="1:4" ht="18.600000000000001" customHeight="1" x14ac:dyDescent="0.3">
      <c r="A26" s="9">
        <v>21</v>
      </c>
      <c r="B26" s="40" t="s">
        <v>398</v>
      </c>
      <c r="C26" s="40" t="s">
        <v>399</v>
      </c>
      <c r="D26" s="42">
        <v>40528</v>
      </c>
    </row>
    <row r="31" spans="1:4" x14ac:dyDescent="0.3">
      <c r="A31" s="7" t="s">
        <v>237</v>
      </c>
    </row>
    <row r="33" spans="1:4" ht="30" x14ac:dyDescent="0.3">
      <c r="A33" s="17" t="s">
        <v>48</v>
      </c>
      <c r="B33" s="17" t="s">
        <v>40</v>
      </c>
      <c r="C33" s="17" t="s">
        <v>41</v>
      </c>
      <c r="D33" s="18" t="s">
        <v>145</v>
      </c>
    </row>
    <row r="34" spans="1:4" ht="18" customHeight="1" x14ac:dyDescent="0.3">
      <c r="A34" s="9">
        <v>1</v>
      </c>
      <c r="B34" s="40" t="s">
        <v>49</v>
      </c>
      <c r="C34" s="40" t="s">
        <v>50</v>
      </c>
      <c r="D34" s="36">
        <v>40583</v>
      </c>
    </row>
    <row r="35" spans="1:4" ht="18" customHeight="1" x14ac:dyDescent="0.3">
      <c r="A35" s="9">
        <v>2</v>
      </c>
      <c r="B35" s="40" t="s">
        <v>51</v>
      </c>
      <c r="C35" s="40" t="s">
        <v>52</v>
      </c>
      <c r="D35" s="36">
        <v>40738</v>
      </c>
    </row>
    <row r="36" spans="1:4" ht="18" customHeight="1" x14ac:dyDescent="0.3">
      <c r="A36" s="9">
        <v>3</v>
      </c>
      <c r="B36" s="48" t="s">
        <v>53</v>
      </c>
      <c r="C36" s="48" t="s">
        <v>54</v>
      </c>
      <c r="D36" s="36">
        <v>39569</v>
      </c>
    </row>
    <row r="37" spans="1:4" ht="18" customHeight="1" x14ac:dyDescent="0.3">
      <c r="A37" s="9">
        <v>4</v>
      </c>
      <c r="B37" s="40" t="s">
        <v>57</v>
      </c>
      <c r="C37" s="40" t="s">
        <v>302</v>
      </c>
      <c r="D37" s="36">
        <v>40604</v>
      </c>
    </row>
    <row r="38" spans="1:4" ht="18" customHeight="1" x14ac:dyDescent="0.3">
      <c r="A38" s="9">
        <v>5</v>
      </c>
      <c r="B38" s="40" t="s">
        <v>59</v>
      </c>
      <c r="C38" s="40" t="s">
        <v>404</v>
      </c>
      <c r="D38" s="36">
        <v>39256</v>
      </c>
    </row>
    <row r="39" spans="1:4" ht="18" customHeight="1" x14ac:dyDescent="0.3">
      <c r="A39" s="9">
        <v>6</v>
      </c>
      <c r="B39" s="84" t="s">
        <v>64</v>
      </c>
      <c r="C39" s="84" t="s">
        <v>65</v>
      </c>
      <c r="D39" s="36">
        <v>39345</v>
      </c>
    </row>
    <row r="40" spans="1:4" ht="18" customHeight="1" x14ac:dyDescent="0.3">
      <c r="A40" s="9">
        <v>7</v>
      </c>
      <c r="B40" s="84" t="s">
        <v>66</v>
      </c>
      <c r="C40" s="84" t="s">
        <v>150</v>
      </c>
      <c r="D40" s="36">
        <v>40406</v>
      </c>
    </row>
    <row r="41" spans="1:4" ht="18" customHeight="1" x14ac:dyDescent="0.3">
      <c r="A41" s="9">
        <v>8</v>
      </c>
      <c r="B41" s="40" t="s">
        <v>67</v>
      </c>
      <c r="C41" s="40" t="s">
        <v>68</v>
      </c>
      <c r="D41" s="36">
        <v>40693</v>
      </c>
    </row>
    <row r="42" spans="1:4" ht="18" customHeight="1" x14ac:dyDescent="0.3">
      <c r="A42" s="9">
        <v>9</v>
      </c>
      <c r="B42" s="40" t="s">
        <v>342</v>
      </c>
      <c r="C42" s="40" t="s">
        <v>70</v>
      </c>
      <c r="D42" s="36">
        <v>40478</v>
      </c>
    </row>
    <row r="43" spans="1:4" ht="18" customHeight="1" x14ac:dyDescent="0.3">
      <c r="A43" s="9">
        <v>10</v>
      </c>
      <c r="B43" s="40" t="s">
        <v>71</v>
      </c>
      <c r="C43" s="40" t="s">
        <v>72</v>
      </c>
      <c r="D43" s="36">
        <v>39855</v>
      </c>
    </row>
    <row r="44" spans="1:4" ht="18" customHeight="1" x14ac:dyDescent="0.3">
      <c r="A44" s="9">
        <v>11</v>
      </c>
      <c r="B44" s="40" t="s">
        <v>71</v>
      </c>
      <c r="C44" s="102" t="s">
        <v>253</v>
      </c>
      <c r="D44" s="36">
        <v>40004</v>
      </c>
    </row>
    <row r="45" spans="1:4" ht="18" customHeight="1" x14ac:dyDescent="0.3">
      <c r="A45" s="9">
        <v>12</v>
      </c>
      <c r="B45" s="40" t="s">
        <v>279</v>
      </c>
      <c r="C45" s="40" t="s">
        <v>75</v>
      </c>
      <c r="D45" s="36">
        <v>40615</v>
      </c>
    </row>
    <row r="46" spans="1:4" ht="18" customHeight="1" x14ac:dyDescent="0.3">
      <c r="A46" s="9">
        <v>13</v>
      </c>
      <c r="B46" s="40" t="s">
        <v>247</v>
      </c>
      <c r="C46" s="40" t="s">
        <v>248</v>
      </c>
      <c r="D46" s="42">
        <v>40753</v>
      </c>
    </row>
    <row r="47" spans="1:4" ht="18" customHeight="1" x14ac:dyDescent="0.3">
      <c r="A47" s="9">
        <v>14</v>
      </c>
      <c r="B47" s="40" t="s">
        <v>78</v>
      </c>
      <c r="C47" s="40" t="s">
        <v>260</v>
      </c>
      <c r="D47" s="42">
        <v>40287</v>
      </c>
    </row>
    <row r="48" spans="1:4" ht="18" customHeight="1" x14ac:dyDescent="0.3">
      <c r="A48" s="9">
        <v>15</v>
      </c>
      <c r="B48" s="40" t="s">
        <v>358</v>
      </c>
      <c r="C48" s="40" t="s">
        <v>357</v>
      </c>
      <c r="D48" s="42">
        <v>39670</v>
      </c>
    </row>
    <row r="49" spans="1:4" ht="18" customHeight="1" x14ac:dyDescent="0.3">
      <c r="A49" s="9">
        <v>16</v>
      </c>
      <c r="B49" s="40" t="s">
        <v>80</v>
      </c>
      <c r="C49" s="40" t="s">
        <v>360</v>
      </c>
      <c r="D49" s="42">
        <v>40479</v>
      </c>
    </row>
    <row r="50" spans="1:4" ht="18" customHeight="1" x14ac:dyDescent="0.3">
      <c r="A50" s="9">
        <v>17</v>
      </c>
      <c r="B50" s="40" t="s">
        <v>175</v>
      </c>
      <c r="C50" s="40" t="s">
        <v>85</v>
      </c>
      <c r="D50" s="42">
        <v>39975</v>
      </c>
    </row>
    <row r="51" spans="1:4" ht="18" customHeight="1" x14ac:dyDescent="0.3">
      <c r="A51" s="9">
        <v>18</v>
      </c>
      <c r="B51" s="40" t="s">
        <v>328</v>
      </c>
      <c r="C51" s="40" t="s">
        <v>87</v>
      </c>
      <c r="D51" s="13" t="s">
        <v>255</v>
      </c>
    </row>
    <row r="52" spans="1:4" ht="18" customHeight="1" x14ac:dyDescent="0.3">
      <c r="A52" s="9">
        <v>19</v>
      </c>
      <c r="B52" s="40" t="s">
        <v>382</v>
      </c>
      <c r="C52" s="40" t="s">
        <v>383</v>
      </c>
      <c r="D52" s="36">
        <v>40718</v>
      </c>
    </row>
    <row r="53" spans="1:4" x14ac:dyDescent="0.3">
      <c r="A53" s="7">
        <v>20</v>
      </c>
      <c r="B53" s="7" t="s">
        <v>295</v>
      </c>
      <c r="C53" s="103" t="s">
        <v>294</v>
      </c>
      <c r="D53" s="36">
        <v>40269</v>
      </c>
    </row>
    <row r="54" spans="1:4" x14ac:dyDescent="0.3">
      <c r="C54" s="116"/>
      <c r="D54" s="113"/>
    </row>
    <row r="55" spans="1:4" x14ac:dyDescent="0.3">
      <c r="C55" s="116"/>
      <c r="D55" s="113"/>
    </row>
    <row r="56" spans="1:4" x14ac:dyDescent="0.3">
      <c r="C56" s="116"/>
      <c r="D56" s="113"/>
    </row>
    <row r="57" spans="1:4" x14ac:dyDescent="0.3">
      <c r="C57" s="116"/>
      <c r="D57" s="113"/>
    </row>
    <row r="58" spans="1:4" x14ac:dyDescent="0.3">
      <c r="C58" s="116"/>
      <c r="D58" s="113"/>
    </row>
    <row r="60" spans="1:4" x14ac:dyDescent="0.3">
      <c r="A60" s="101" t="s">
        <v>238</v>
      </c>
    </row>
    <row r="61" spans="1:4" ht="30" x14ac:dyDescent="0.3">
      <c r="A61" s="17" t="s">
        <v>48</v>
      </c>
      <c r="B61" s="47" t="s">
        <v>40</v>
      </c>
      <c r="C61" s="47" t="s">
        <v>41</v>
      </c>
      <c r="D61" s="18" t="s">
        <v>145</v>
      </c>
    </row>
    <row r="62" spans="1:4" x14ac:dyDescent="0.3">
      <c r="A62" s="93">
        <v>1</v>
      </c>
      <c r="B62" s="103" t="s">
        <v>92</v>
      </c>
      <c r="C62" s="103" t="s">
        <v>93</v>
      </c>
      <c r="D62" s="104">
        <v>40002</v>
      </c>
    </row>
    <row r="63" spans="1:4" x14ac:dyDescent="0.3">
      <c r="A63" s="125">
        <v>2</v>
      </c>
      <c r="B63" s="126" t="s">
        <v>94</v>
      </c>
      <c r="C63" s="126" t="s">
        <v>380</v>
      </c>
      <c r="D63" s="127">
        <v>40135</v>
      </c>
    </row>
    <row r="64" spans="1:4" x14ac:dyDescent="0.3">
      <c r="A64" s="93">
        <v>3</v>
      </c>
      <c r="B64" s="103" t="s">
        <v>95</v>
      </c>
      <c r="C64" s="103" t="s">
        <v>96</v>
      </c>
      <c r="D64" s="104">
        <v>40030</v>
      </c>
    </row>
    <row r="65" spans="1:4" x14ac:dyDescent="0.3">
      <c r="A65" s="93">
        <v>4</v>
      </c>
      <c r="B65" s="103" t="s">
        <v>61</v>
      </c>
      <c r="C65" s="103" t="s">
        <v>288</v>
      </c>
      <c r="D65" s="104">
        <v>40041</v>
      </c>
    </row>
    <row r="66" spans="1:4" x14ac:dyDescent="0.3">
      <c r="A66" s="93">
        <v>5</v>
      </c>
      <c r="B66" s="103" t="s">
        <v>97</v>
      </c>
      <c r="C66" s="103" t="s">
        <v>98</v>
      </c>
      <c r="D66" s="104">
        <v>40329</v>
      </c>
    </row>
    <row r="67" spans="1:4" x14ac:dyDescent="0.3">
      <c r="A67" s="125">
        <v>6</v>
      </c>
      <c r="B67" s="126" t="s">
        <v>99</v>
      </c>
      <c r="C67" s="126" t="s">
        <v>325</v>
      </c>
      <c r="D67" s="127">
        <v>40191</v>
      </c>
    </row>
    <row r="68" spans="1:4" x14ac:dyDescent="0.3">
      <c r="A68" s="93">
        <v>7</v>
      </c>
      <c r="B68" s="103" t="s">
        <v>286</v>
      </c>
      <c r="C68" s="103" t="s">
        <v>104</v>
      </c>
      <c r="D68" s="104">
        <v>40363</v>
      </c>
    </row>
    <row r="69" spans="1:4" ht="27" x14ac:dyDescent="0.3">
      <c r="A69" s="93">
        <v>8</v>
      </c>
      <c r="B69" s="103" t="s">
        <v>108</v>
      </c>
      <c r="C69" s="106" t="s">
        <v>297</v>
      </c>
      <c r="D69" s="105">
        <v>39754</v>
      </c>
    </row>
    <row r="70" spans="1:4" x14ac:dyDescent="0.3">
      <c r="A70" s="93">
        <v>9</v>
      </c>
      <c r="B70" s="103" t="s">
        <v>110</v>
      </c>
      <c r="C70" s="103" t="s">
        <v>111</v>
      </c>
      <c r="D70" s="105">
        <v>39610</v>
      </c>
    </row>
    <row r="71" spans="1:4" ht="33" x14ac:dyDescent="0.3">
      <c r="A71" s="93">
        <v>10</v>
      </c>
      <c r="B71" s="103" t="s">
        <v>114</v>
      </c>
      <c r="C71" s="117" t="s">
        <v>327</v>
      </c>
      <c r="D71" s="105">
        <v>39963</v>
      </c>
    </row>
    <row r="72" spans="1:4" x14ac:dyDescent="0.3">
      <c r="A72" s="93">
        <v>11</v>
      </c>
      <c r="B72" s="103" t="s">
        <v>116</v>
      </c>
      <c r="C72" s="103" t="s">
        <v>291</v>
      </c>
      <c r="D72" s="105">
        <v>39849</v>
      </c>
    </row>
    <row r="73" spans="1:4" x14ac:dyDescent="0.3">
      <c r="A73" s="93">
        <v>12</v>
      </c>
      <c r="B73" s="103" t="s">
        <v>190</v>
      </c>
      <c r="C73" s="103" t="s">
        <v>189</v>
      </c>
      <c r="D73" s="105">
        <v>39724</v>
      </c>
    </row>
    <row r="74" spans="1:4" x14ac:dyDescent="0.3">
      <c r="A74" s="93">
        <v>13</v>
      </c>
      <c r="B74" s="103" t="s">
        <v>217</v>
      </c>
      <c r="C74" s="103" t="s">
        <v>216</v>
      </c>
      <c r="D74" s="105">
        <v>39539</v>
      </c>
    </row>
    <row r="75" spans="1:4" x14ac:dyDescent="0.3">
      <c r="A75" s="93">
        <v>14</v>
      </c>
      <c r="B75" s="103" t="s">
        <v>118</v>
      </c>
      <c r="C75" s="103" t="s">
        <v>282</v>
      </c>
      <c r="D75" s="104">
        <v>39826</v>
      </c>
    </row>
    <row r="76" spans="1:4" x14ac:dyDescent="0.3">
      <c r="A76" s="93">
        <v>15</v>
      </c>
      <c r="B76" s="103" t="s">
        <v>374</v>
      </c>
      <c r="C76" s="103" t="s">
        <v>391</v>
      </c>
      <c r="D76" s="104"/>
    </row>
    <row r="79" spans="1:4" x14ac:dyDescent="0.3">
      <c r="A79" s="101" t="s">
        <v>239</v>
      </c>
    </row>
    <row r="81" spans="1:4" ht="30" x14ac:dyDescent="0.3">
      <c r="A81" s="17" t="s">
        <v>48</v>
      </c>
      <c r="B81" s="17" t="s">
        <v>40</v>
      </c>
      <c r="C81" s="17" t="s">
        <v>41</v>
      </c>
      <c r="D81" s="18" t="s">
        <v>145</v>
      </c>
    </row>
    <row r="82" spans="1:4" x14ac:dyDescent="0.3">
      <c r="A82" s="9">
        <v>1</v>
      </c>
      <c r="B82" s="40" t="s">
        <v>120</v>
      </c>
      <c r="C82" s="40" t="s">
        <v>121</v>
      </c>
      <c r="D82" s="36">
        <v>39141</v>
      </c>
    </row>
    <row r="83" spans="1:4" x14ac:dyDescent="0.3">
      <c r="A83" s="9">
        <v>2</v>
      </c>
      <c r="B83" s="40" t="s">
        <v>122</v>
      </c>
      <c r="C83" s="40" t="s">
        <v>349</v>
      </c>
      <c r="D83" s="86">
        <v>39506</v>
      </c>
    </row>
    <row r="84" spans="1:4" x14ac:dyDescent="0.3">
      <c r="A84" s="9">
        <v>3</v>
      </c>
      <c r="B84" s="40" t="s">
        <v>59</v>
      </c>
      <c r="C84" s="40" t="s">
        <v>124</v>
      </c>
      <c r="D84" s="36">
        <v>38353</v>
      </c>
    </row>
    <row r="85" spans="1:4" x14ac:dyDescent="0.3">
      <c r="A85" s="9">
        <v>4</v>
      </c>
      <c r="B85" s="40" t="s">
        <v>321</v>
      </c>
      <c r="C85" s="40" t="s">
        <v>125</v>
      </c>
      <c r="D85" s="36">
        <v>40302</v>
      </c>
    </row>
    <row r="86" spans="1:4" x14ac:dyDescent="0.3">
      <c r="A86" s="9">
        <v>5</v>
      </c>
      <c r="B86" s="40" t="s">
        <v>25</v>
      </c>
      <c r="C86" s="40" t="s">
        <v>363</v>
      </c>
      <c r="D86" s="42">
        <v>39733</v>
      </c>
    </row>
    <row r="87" spans="1:4" x14ac:dyDescent="0.3">
      <c r="A87" s="9">
        <v>6</v>
      </c>
      <c r="B87" s="40" t="s">
        <v>149</v>
      </c>
      <c r="C87" s="40" t="s">
        <v>146</v>
      </c>
      <c r="D87" s="36">
        <v>39872</v>
      </c>
    </row>
    <row r="88" spans="1:4" x14ac:dyDescent="0.3">
      <c r="A88" s="9">
        <v>7</v>
      </c>
      <c r="B88" s="40" t="s">
        <v>263</v>
      </c>
      <c r="C88" s="40" t="s">
        <v>264</v>
      </c>
      <c r="D88" s="36">
        <v>39345</v>
      </c>
    </row>
    <row r="89" spans="1:4" ht="30" customHeight="1" x14ac:dyDescent="0.3">
      <c r="A89" s="9">
        <v>8</v>
      </c>
      <c r="B89" s="40" t="s">
        <v>408</v>
      </c>
      <c r="C89" s="40" t="s">
        <v>409</v>
      </c>
      <c r="D89" s="36">
        <v>39846</v>
      </c>
    </row>
    <row r="91" spans="1:4" x14ac:dyDescent="0.3">
      <c r="A91" s="101" t="s">
        <v>333</v>
      </c>
    </row>
    <row r="92" spans="1:4" ht="30" x14ac:dyDescent="0.3">
      <c r="A92" s="17" t="s">
        <v>48</v>
      </c>
      <c r="B92" s="17" t="s">
        <v>40</v>
      </c>
      <c r="C92" s="17" t="s">
        <v>41</v>
      </c>
      <c r="D92" s="18" t="s">
        <v>145</v>
      </c>
    </row>
    <row r="93" spans="1:4" x14ac:dyDescent="0.3">
      <c r="A93" s="9">
        <v>1</v>
      </c>
      <c r="B93" s="40" t="s">
        <v>279</v>
      </c>
      <c r="C93" s="40" t="s">
        <v>284</v>
      </c>
      <c r="D93" s="36">
        <v>39439</v>
      </c>
    </row>
    <row r="94" spans="1:4" x14ac:dyDescent="0.3">
      <c r="A94" s="95">
        <v>2</v>
      </c>
      <c r="B94" s="114" t="s">
        <v>132</v>
      </c>
      <c r="C94" s="114" t="s">
        <v>133</v>
      </c>
      <c r="D94" s="115">
        <v>38998</v>
      </c>
    </row>
    <row r="95" spans="1:4" x14ac:dyDescent="0.3">
      <c r="A95" s="9">
        <v>3</v>
      </c>
      <c r="B95" s="40" t="s">
        <v>134</v>
      </c>
      <c r="C95" s="40" t="s">
        <v>320</v>
      </c>
      <c r="D95" s="36">
        <v>39413</v>
      </c>
    </row>
    <row r="96" spans="1:4" x14ac:dyDescent="0.3">
      <c r="A96" s="21"/>
      <c r="B96" s="49"/>
      <c r="C96" s="49"/>
      <c r="D96" s="113"/>
    </row>
    <row r="97" spans="1:5" x14ac:dyDescent="0.3">
      <c r="A97" s="21"/>
      <c r="B97" s="49"/>
      <c r="C97" s="49"/>
      <c r="D97" s="113"/>
    </row>
    <row r="98" spans="1:5" x14ac:dyDescent="0.3">
      <c r="A98" s="21"/>
      <c r="B98" s="49"/>
      <c r="C98" s="49"/>
      <c r="D98" s="113"/>
    </row>
    <row r="99" spans="1:5" x14ac:dyDescent="0.3">
      <c r="A99" s="21"/>
      <c r="B99" s="49"/>
      <c r="C99" s="49"/>
      <c r="D99" s="113"/>
    </row>
    <row r="100" spans="1:5" x14ac:dyDescent="0.3">
      <c r="A100" s="21"/>
      <c r="B100" s="49"/>
      <c r="C100" s="49"/>
      <c r="D100" s="113"/>
    </row>
    <row r="101" spans="1:5" x14ac:dyDescent="0.3">
      <c r="A101" s="21"/>
      <c r="B101" s="49"/>
      <c r="C101" s="49"/>
      <c r="D101" s="113"/>
    </row>
    <row r="102" spans="1:5" x14ac:dyDescent="0.3">
      <c r="A102" s="21"/>
      <c r="B102" s="49"/>
      <c r="C102" s="49"/>
      <c r="D102" s="113"/>
    </row>
    <row r="103" spans="1:5" x14ac:dyDescent="0.3">
      <c r="A103" s="21"/>
      <c r="B103" s="49"/>
      <c r="C103" s="49"/>
      <c r="D103" s="113"/>
    </row>
    <row r="104" spans="1:5" x14ac:dyDescent="0.3">
      <c r="A104" s="21"/>
      <c r="B104" s="49"/>
      <c r="C104" s="49"/>
      <c r="D104" s="113"/>
    </row>
    <row r="105" spans="1:5" x14ac:dyDescent="0.3">
      <c r="A105" s="21"/>
      <c r="B105" s="49"/>
      <c r="C105" s="49"/>
      <c r="D105" s="113"/>
    </row>
    <row r="106" spans="1:5" x14ac:dyDescent="0.3">
      <c r="A106" s="21"/>
      <c r="B106" s="49"/>
      <c r="C106" s="49"/>
      <c r="D106" s="113"/>
    </row>
    <row r="108" spans="1:5" ht="30" x14ac:dyDescent="0.3">
      <c r="B108" s="52" t="s">
        <v>154</v>
      </c>
      <c r="C108" s="111" t="s">
        <v>417</v>
      </c>
      <c r="D108" s="52" t="s">
        <v>415</v>
      </c>
      <c r="E108" s="52" t="s">
        <v>169</v>
      </c>
    </row>
    <row r="109" spans="1:5" x14ac:dyDescent="0.3">
      <c r="B109" s="71" t="s">
        <v>396</v>
      </c>
      <c r="C109" s="71">
        <v>21</v>
      </c>
      <c r="D109" s="71">
        <v>525</v>
      </c>
      <c r="E109" s="71">
        <f>C109*D109</f>
        <v>11025</v>
      </c>
    </row>
    <row r="110" spans="1:5" x14ac:dyDescent="0.3">
      <c r="B110" s="71" t="s">
        <v>397</v>
      </c>
      <c r="C110" s="71">
        <v>20</v>
      </c>
      <c r="D110" s="71">
        <v>525</v>
      </c>
      <c r="E110" s="71">
        <f t="shared" ref="E110:E111" si="0">C110*D110</f>
        <v>10500</v>
      </c>
    </row>
    <row r="111" spans="1:5" x14ac:dyDescent="0.3">
      <c r="B111" s="71" t="s">
        <v>416</v>
      </c>
      <c r="C111" s="71">
        <v>15</v>
      </c>
      <c r="D111" s="71">
        <v>525</v>
      </c>
      <c r="E111" s="71">
        <f t="shared" si="0"/>
        <v>7875</v>
      </c>
    </row>
    <row r="112" spans="1:5" x14ac:dyDescent="0.3">
      <c r="B112" s="71" t="s">
        <v>245</v>
      </c>
      <c r="C112" s="71">
        <v>8</v>
      </c>
      <c r="D112" s="71">
        <v>575</v>
      </c>
      <c r="E112" s="71">
        <f>C112*D112</f>
        <v>4600</v>
      </c>
    </row>
    <row r="113" spans="2:5" x14ac:dyDescent="0.3">
      <c r="B113" s="71" t="s">
        <v>332</v>
      </c>
      <c r="C113" s="71">
        <v>3</v>
      </c>
      <c r="D113" s="71">
        <v>550</v>
      </c>
      <c r="E113" s="71">
        <f>C113*D113</f>
        <v>1650</v>
      </c>
    </row>
    <row r="114" spans="2:5" x14ac:dyDescent="0.3">
      <c r="B114" s="108"/>
      <c r="C114" s="109">
        <f>SUM(C109:C113)</f>
        <v>67</v>
      </c>
      <c r="D114" s="107" t="s">
        <v>169</v>
      </c>
      <c r="E114" s="107">
        <f>SUM(E109:E113)</f>
        <v>35650</v>
      </c>
    </row>
    <row r="116" spans="2:5" x14ac:dyDescent="0.3">
      <c r="B116" s="7" t="s">
        <v>418</v>
      </c>
      <c r="C116" s="112">
        <v>21000</v>
      </c>
    </row>
    <row r="117" spans="2:5" x14ac:dyDescent="0.3">
      <c r="B117" s="7" t="s">
        <v>419</v>
      </c>
      <c r="C117" s="112">
        <f>E114-C116</f>
        <v>14650</v>
      </c>
    </row>
    <row r="118" spans="2:5" x14ac:dyDescent="0.3">
      <c r="C118" s="112">
        <f>SUM(C116:C117)</f>
        <v>35650</v>
      </c>
    </row>
    <row r="120" spans="2:5" x14ac:dyDescent="0.3">
      <c r="B120" s="7" t="s">
        <v>420</v>
      </c>
    </row>
    <row r="121" spans="2:5" x14ac:dyDescent="0.3">
      <c r="B121" s="7" t="s">
        <v>421</v>
      </c>
    </row>
    <row r="122" spans="2:5" x14ac:dyDescent="0.3">
      <c r="B122" s="7">
        <v>3414085843</v>
      </c>
    </row>
    <row r="123" spans="2:5" x14ac:dyDescent="0.3">
      <c r="B123" s="7" t="s">
        <v>422</v>
      </c>
    </row>
    <row r="124" spans="2:5" x14ac:dyDescent="0.3">
      <c r="B124" s="7" t="s">
        <v>423</v>
      </c>
    </row>
  </sheetData>
  <pageMargins left="0.7" right="0.7" top="0.75" bottom="0.75" header="0.3" footer="0.3"/>
  <pageSetup orientation="portrait" horizontalDpi="360" verticalDpi="360" r:id="rId1"/>
  <rowBreaks count="2" manualBreakCount="2">
    <brk id="28" max="16383" man="1"/>
    <brk id="56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1F43-E31B-4706-A0BC-06BDE81DE977}">
  <dimension ref="A2:E86"/>
  <sheetViews>
    <sheetView view="pageBreakPreview" topLeftCell="A51" zoomScale="60" zoomScaleNormal="100" workbookViewId="0">
      <selection activeCell="E77" sqref="E77"/>
    </sheetView>
  </sheetViews>
  <sheetFormatPr baseColWidth="10" defaultColWidth="11.5703125" defaultRowHeight="16.5" x14ac:dyDescent="0.3"/>
  <cols>
    <col min="1" max="1" width="5.5703125" style="141" customWidth="1"/>
    <col min="2" max="2" width="23.85546875" style="143" customWidth="1"/>
    <col min="3" max="3" width="24.5703125" style="143" customWidth="1"/>
    <col min="4" max="4" width="13.140625" style="167" customWidth="1"/>
    <col min="5" max="16384" width="11.5703125" style="141"/>
  </cols>
  <sheetData>
    <row r="2" spans="1:4" x14ac:dyDescent="0.3">
      <c r="B2" s="142" t="s">
        <v>345</v>
      </c>
    </row>
    <row r="3" spans="1:4" x14ac:dyDescent="0.3">
      <c r="A3" s="144" t="s">
        <v>236</v>
      </c>
    </row>
    <row r="4" spans="1:4" x14ac:dyDescent="0.3">
      <c r="A4" s="145" t="s">
        <v>48</v>
      </c>
      <c r="B4" s="145" t="s">
        <v>40</v>
      </c>
      <c r="C4" s="145" t="s">
        <v>41</v>
      </c>
      <c r="D4" s="168" t="s">
        <v>483</v>
      </c>
    </row>
    <row r="5" spans="1:4" s="138" customFormat="1" ht="15.6" customHeight="1" x14ac:dyDescent="0.3">
      <c r="A5" s="119">
        <v>1</v>
      </c>
      <c r="B5" s="136" t="s">
        <v>206</v>
      </c>
      <c r="C5" s="136" t="s">
        <v>4</v>
      </c>
      <c r="D5" s="169">
        <v>525</v>
      </c>
    </row>
    <row r="6" spans="1:4" s="138" customFormat="1" ht="15.6" customHeight="1" x14ac:dyDescent="0.3">
      <c r="A6" s="119">
        <v>1</v>
      </c>
      <c r="B6" s="136" t="s">
        <v>20</v>
      </c>
      <c r="C6" s="136" t="s">
        <v>21</v>
      </c>
      <c r="D6" s="169">
        <v>525</v>
      </c>
    </row>
    <row r="7" spans="1:4" s="138" customFormat="1" ht="15.6" customHeight="1" x14ac:dyDescent="0.3">
      <c r="A7" s="119">
        <v>1</v>
      </c>
      <c r="B7" s="136" t="s">
        <v>34</v>
      </c>
      <c r="C7" s="136" t="s">
        <v>35</v>
      </c>
      <c r="D7" s="169">
        <v>525</v>
      </c>
    </row>
    <row r="8" spans="1:4" s="138" customFormat="1" ht="15.6" customHeight="1" x14ac:dyDescent="0.3">
      <c r="A8" s="119">
        <v>1</v>
      </c>
      <c r="B8" s="137" t="s">
        <v>37</v>
      </c>
      <c r="C8" s="137" t="s">
        <v>38</v>
      </c>
      <c r="D8" s="169">
        <v>525</v>
      </c>
    </row>
    <row r="9" spans="1:4" s="138" customFormat="1" ht="15.6" customHeight="1" x14ac:dyDescent="0.3">
      <c r="A9" s="119">
        <v>1</v>
      </c>
      <c r="B9" s="135" t="s">
        <v>378</v>
      </c>
      <c r="C9" s="135" t="s">
        <v>379</v>
      </c>
      <c r="D9" s="169">
        <v>525</v>
      </c>
    </row>
    <row r="10" spans="1:4" s="138" customFormat="1" ht="15.6" customHeight="1" x14ac:dyDescent="0.3">
      <c r="A10" s="119">
        <v>1</v>
      </c>
      <c r="B10" s="135" t="s">
        <v>386</v>
      </c>
      <c r="C10" s="135" t="s">
        <v>387</v>
      </c>
      <c r="D10" s="169">
        <v>525</v>
      </c>
    </row>
    <row r="11" spans="1:4" x14ac:dyDescent="0.3">
      <c r="A11" s="129">
        <f>SUM(A5:A10)</f>
        <v>6</v>
      </c>
      <c r="B11" s="130"/>
      <c r="C11" s="130"/>
      <c r="D11" s="170">
        <f>SUM(D5:D10)</f>
        <v>3150</v>
      </c>
    </row>
    <row r="12" spans="1:4" x14ac:dyDescent="0.3">
      <c r="A12" s="146"/>
      <c r="B12" s="142"/>
      <c r="C12" s="142"/>
      <c r="D12" s="171"/>
    </row>
    <row r="13" spans="1:4" x14ac:dyDescent="0.3">
      <c r="A13" s="146"/>
      <c r="B13" s="142"/>
      <c r="C13" s="142"/>
      <c r="D13" s="171"/>
    </row>
    <row r="14" spans="1:4" x14ac:dyDescent="0.3">
      <c r="A14" s="144" t="s">
        <v>237</v>
      </c>
    </row>
    <row r="16" spans="1:4" x14ac:dyDescent="0.3">
      <c r="A16" s="145" t="s">
        <v>48</v>
      </c>
      <c r="B16" s="145" t="s">
        <v>40</v>
      </c>
      <c r="C16" s="145" t="s">
        <v>41</v>
      </c>
      <c r="D16" s="168" t="s">
        <v>482</v>
      </c>
    </row>
    <row r="17" spans="1:4" ht="15.6" customHeight="1" x14ac:dyDescent="0.3">
      <c r="A17" s="93">
        <v>1</v>
      </c>
      <c r="B17" s="94" t="s">
        <v>55</v>
      </c>
      <c r="C17" s="94" t="s">
        <v>56</v>
      </c>
      <c r="D17" s="172">
        <v>525</v>
      </c>
    </row>
    <row r="18" spans="1:4" ht="15.6" customHeight="1" x14ac:dyDescent="0.3">
      <c r="A18" s="93">
        <v>1</v>
      </c>
      <c r="B18" s="94" t="s">
        <v>63</v>
      </c>
      <c r="C18" s="94" t="s">
        <v>266</v>
      </c>
      <c r="D18" s="172">
        <v>525</v>
      </c>
    </row>
    <row r="19" spans="1:4" ht="15.6" customHeight="1" x14ac:dyDescent="0.3">
      <c r="A19" s="93">
        <v>1</v>
      </c>
      <c r="B19" s="94" t="s">
        <v>83</v>
      </c>
      <c r="C19" s="139" t="s">
        <v>84</v>
      </c>
      <c r="D19" s="172">
        <v>525</v>
      </c>
    </row>
    <row r="20" spans="1:4" ht="15.6" customHeight="1" x14ac:dyDescent="0.3">
      <c r="A20" s="93">
        <v>1</v>
      </c>
      <c r="B20" s="94" t="s">
        <v>88</v>
      </c>
      <c r="C20" s="94" t="s">
        <v>89</v>
      </c>
      <c r="D20" s="172">
        <v>525</v>
      </c>
    </row>
    <row r="21" spans="1:4" ht="25.9" customHeight="1" x14ac:dyDescent="0.3">
      <c r="A21" s="93">
        <v>1</v>
      </c>
      <c r="B21" s="103" t="s">
        <v>37</v>
      </c>
      <c r="C21" s="147" t="s">
        <v>271</v>
      </c>
      <c r="D21" s="172">
        <v>525</v>
      </c>
    </row>
    <row r="22" spans="1:4" ht="15.6" customHeight="1" x14ac:dyDescent="0.3">
      <c r="A22" s="148">
        <v>1</v>
      </c>
      <c r="B22" s="140" t="s">
        <v>448</v>
      </c>
      <c r="C22" s="140" t="s">
        <v>449</v>
      </c>
      <c r="D22" s="172">
        <v>525</v>
      </c>
    </row>
    <row r="23" spans="1:4" ht="15.6" customHeight="1" x14ac:dyDescent="0.3">
      <c r="A23" s="148">
        <v>1</v>
      </c>
      <c r="B23" s="140" t="s">
        <v>479</v>
      </c>
      <c r="C23" s="140" t="s">
        <v>476</v>
      </c>
      <c r="D23" s="172">
        <v>525</v>
      </c>
    </row>
    <row r="24" spans="1:4" ht="15.6" customHeight="1" x14ac:dyDescent="0.3">
      <c r="A24" s="148">
        <v>1</v>
      </c>
      <c r="B24" s="134" t="s">
        <v>99</v>
      </c>
      <c r="C24" s="134" t="s">
        <v>100</v>
      </c>
      <c r="D24" s="172"/>
    </row>
    <row r="25" spans="1:4" ht="15.6" customHeight="1" x14ac:dyDescent="0.3">
      <c r="A25" s="149">
        <f>SUM(A17:A24)</f>
        <v>8</v>
      </c>
      <c r="B25" s="150"/>
      <c r="C25" s="150"/>
      <c r="D25" s="173">
        <f>SUM(D17:D24)</f>
        <v>3675</v>
      </c>
    </row>
    <row r="26" spans="1:4" ht="15.6" customHeight="1" x14ac:dyDescent="0.3">
      <c r="A26" s="146"/>
      <c r="B26" s="142"/>
      <c r="C26" s="142"/>
      <c r="D26" s="171"/>
    </row>
    <row r="27" spans="1:4" ht="15.6" customHeight="1" x14ac:dyDescent="0.3">
      <c r="A27" s="146"/>
      <c r="B27" s="142"/>
      <c r="C27" s="142"/>
      <c r="D27" s="171"/>
    </row>
    <row r="28" spans="1:4" x14ac:dyDescent="0.3">
      <c r="A28" s="144" t="s">
        <v>238</v>
      </c>
    </row>
    <row r="29" spans="1:4" x14ac:dyDescent="0.3">
      <c r="A29" s="145" t="s">
        <v>48</v>
      </c>
      <c r="B29" s="145" t="s">
        <v>40</v>
      </c>
      <c r="C29" s="145" t="s">
        <v>41</v>
      </c>
      <c r="D29" s="168" t="s">
        <v>483</v>
      </c>
    </row>
    <row r="30" spans="1:4" ht="15.6" customHeight="1" x14ac:dyDescent="0.3">
      <c r="A30" s="93">
        <v>1</v>
      </c>
      <c r="B30" s="94" t="s">
        <v>101</v>
      </c>
      <c r="C30" s="94" t="s">
        <v>102</v>
      </c>
      <c r="D30" s="172">
        <v>525</v>
      </c>
    </row>
    <row r="31" spans="1:4" ht="15.6" customHeight="1" x14ac:dyDescent="0.3">
      <c r="A31" s="93">
        <v>1</v>
      </c>
      <c r="B31" s="94" t="s">
        <v>105</v>
      </c>
      <c r="C31" s="94" t="s">
        <v>106</v>
      </c>
      <c r="D31" s="172">
        <v>525</v>
      </c>
    </row>
    <row r="32" spans="1:4" ht="15.6" customHeight="1" x14ac:dyDescent="0.3">
      <c r="A32" s="93">
        <v>1</v>
      </c>
      <c r="B32" s="94" t="s">
        <v>341</v>
      </c>
      <c r="C32" s="94" t="s">
        <v>107</v>
      </c>
      <c r="D32" s="172">
        <v>525</v>
      </c>
    </row>
    <row r="33" spans="1:4" ht="15.6" customHeight="1" x14ac:dyDescent="0.3">
      <c r="A33" s="133">
        <v>1</v>
      </c>
      <c r="B33" s="134" t="s">
        <v>112</v>
      </c>
      <c r="C33" s="134" t="s">
        <v>113</v>
      </c>
      <c r="D33" s="172">
        <v>525</v>
      </c>
    </row>
    <row r="34" spans="1:4" ht="15.6" customHeight="1" x14ac:dyDescent="0.3">
      <c r="A34" s="151">
        <v>1</v>
      </c>
      <c r="B34" s="152" t="s">
        <v>386</v>
      </c>
      <c r="C34" s="152" t="s">
        <v>443</v>
      </c>
      <c r="D34" s="172">
        <v>525</v>
      </c>
    </row>
    <row r="35" spans="1:4" ht="16.149999999999999" customHeight="1" x14ac:dyDescent="0.3">
      <c r="A35" s="153">
        <f>SUM(A30:A34)</f>
        <v>5</v>
      </c>
      <c r="B35" s="154"/>
      <c r="C35" s="154"/>
      <c r="D35" s="174">
        <f>SUM(D30:D34)</f>
        <v>2625</v>
      </c>
    </row>
    <row r="36" spans="1:4" ht="16.149999999999999" customHeight="1" x14ac:dyDescent="0.3">
      <c r="A36" s="153"/>
      <c r="B36" s="154"/>
      <c r="C36" s="154"/>
      <c r="D36" s="174"/>
    </row>
    <row r="37" spans="1:4" ht="16.149999999999999" customHeight="1" x14ac:dyDescent="0.3">
      <c r="A37" s="153"/>
      <c r="B37" s="154"/>
      <c r="C37" s="154"/>
      <c r="D37" s="174"/>
    </row>
    <row r="38" spans="1:4" ht="16.149999999999999" customHeight="1" x14ac:dyDescent="0.3">
      <c r="A38" s="153"/>
      <c r="B38" s="154"/>
      <c r="C38" s="154"/>
      <c r="D38" s="174"/>
    </row>
    <row r="39" spans="1:4" ht="16.149999999999999" customHeight="1" x14ac:dyDescent="0.3">
      <c r="A39" s="153"/>
      <c r="B39" s="154"/>
      <c r="C39" s="154"/>
      <c r="D39" s="174"/>
    </row>
    <row r="40" spans="1:4" ht="16.149999999999999" customHeight="1" x14ac:dyDescent="0.3">
      <c r="A40" s="153"/>
      <c r="B40" s="154"/>
      <c r="C40" s="154"/>
      <c r="D40" s="174"/>
    </row>
    <row r="41" spans="1:4" ht="16.149999999999999" customHeight="1" x14ac:dyDescent="0.3">
      <c r="A41" s="153"/>
      <c r="B41" s="154"/>
      <c r="C41" s="154"/>
      <c r="D41" s="174"/>
    </row>
    <row r="42" spans="1:4" ht="16.149999999999999" customHeight="1" x14ac:dyDescent="0.3">
      <c r="A42" s="153"/>
      <c r="B42" s="154"/>
      <c r="C42" s="154"/>
      <c r="D42" s="174"/>
    </row>
    <row r="43" spans="1:4" ht="16.149999999999999" customHeight="1" x14ac:dyDescent="0.3">
      <c r="A43" s="153"/>
      <c r="B43" s="154"/>
      <c r="C43" s="154"/>
      <c r="D43" s="174"/>
    </row>
    <row r="44" spans="1:4" ht="16.149999999999999" customHeight="1" x14ac:dyDescent="0.3">
      <c r="A44" s="153"/>
      <c r="B44" s="154"/>
      <c r="C44" s="154"/>
      <c r="D44" s="174"/>
    </row>
    <row r="45" spans="1:4" ht="16.149999999999999" customHeight="1" x14ac:dyDescent="0.3">
      <c r="A45" s="153"/>
      <c r="B45" s="154"/>
      <c r="C45" s="154"/>
      <c r="D45" s="174"/>
    </row>
    <row r="46" spans="1:4" ht="16.149999999999999" customHeight="1" x14ac:dyDescent="0.3">
      <c r="A46" s="153"/>
      <c r="B46" s="154"/>
      <c r="C46" s="154"/>
      <c r="D46" s="174"/>
    </row>
    <row r="47" spans="1:4" ht="16.149999999999999" customHeight="1" x14ac:dyDescent="0.3">
      <c r="A47" s="153"/>
      <c r="B47" s="154"/>
      <c r="C47" s="154"/>
      <c r="D47" s="174"/>
    </row>
    <row r="48" spans="1:4" ht="24.6" customHeight="1" x14ac:dyDescent="0.3">
      <c r="A48" s="144" t="s">
        <v>239</v>
      </c>
    </row>
    <row r="49" spans="1:4" ht="41.45" customHeight="1" x14ac:dyDescent="0.3">
      <c r="A49" s="155" t="s">
        <v>48</v>
      </c>
      <c r="B49" s="155" t="s">
        <v>40</v>
      </c>
      <c r="C49" s="155" t="s">
        <v>41</v>
      </c>
      <c r="D49" s="175" t="s">
        <v>483</v>
      </c>
    </row>
    <row r="50" spans="1:4" ht="17.25" x14ac:dyDescent="0.3">
      <c r="A50" s="148">
        <v>1</v>
      </c>
      <c r="B50" s="156" t="s">
        <v>438</v>
      </c>
      <c r="C50" s="156" t="s">
        <v>439</v>
      </c>
      <c r="D50" s="176">
        <v>575</v>
      </c>
    </row>
    <row r="51" spans="1:4" ht="17.25" x14ac:dyDescent="0.3">
      <c r="A51" s="148">
        <v>1</v>
      </c>
      <c r="B51" s="156" t="s">
        <v>459</v>
      </c>
      <c r="C51" s="156" t="s">
        <v>456</v>
      </c>
      <c r="D51" s="176">
        <v>575</v>
      </c>
    </row>
    <row r="52" spans="1:4" ht="17.25" x14ac:dyDescent="0.3">
      <c r="A52" s="148">
        <v>1</v>
      </c>
      <c r="B52" s="156" t="s">
        <v>464</v>
      </c>
      <c r="C52" s="156" t="s">
        <v>465</v>
      </c>
      <c r="D52" s="176">
        <v>575</v>
      </c>
    </row>
    <row r="53" spans="1:4" ht="17.25" x14ac:dyDescent="0.3">
      <c r="A53" s="148">
        <v>1</v>
      </c>
      <c r="B53" s="156" t="s">
        <v>469</v>
      </c>
      <c r="C53" s="156" t="s">
        <v>473</v>
      </c>
      <c r="D53" s="176">
        <v>575</v>
      </c>
    </row>
    <row r="54" spans="1:4" x14ac:dyDescent="0.3">
      <c r="A54" s="157">
        <f>SUM(A50:A53)</f>
        <v>4</v>
      </c>
      <c r="B54" s="150"/>
      <c r="C54" s="150"/>
      <c r="D54" s="173">
        <f>SUM(D50:D53)</f>
        <v>2300</v>
      </c>
    </row>
    <row r="55" spans="1:4" x14ac:dyDescent="0.3">
      <c r="A55" s="153"/>
      <c r="B55" s="158"/>
      <c r="C55" s="158"/>
      <c r="D55" s="177"/>
    </row>
    <row r="56" spans="1:4" x14ac:dyDescent="0.3">
      <c r="A56" s="153"/>
      <c r="B56" s="158"/>
      <c r="C56" s="158"/>
      <c r="D56" s="177"/>
    </row>
    <row r="57" spans="1:4" x14ac:dyDescent="0.3">
      <c r="A57" s="153"/>
      <c r="B57" s="158"/>
      <c r="C57" s="158"/>
      <c r="D57" s="177"/>
    </row>
    <row r="58" spans="1:4" x14ac:dyDescent="0.3">
      <c r="A58" s="159" t="s">
        <v>333</v>
      </c>
      <c r="B58" s="158"/>
      <c r="C58" s="158"/>
      <c r="D58" s="177"/>
    </row>
    <row r="59" spans="1:4" x14ac:dyDescent="0.3">
      <c r="A59" s="145" t="s">
        <v>48</v>
      </c>
      <c r="B59" s="145" t="s">
        <v>40</v>
      </c>
      <c r="C59" s="145" t="s">
        <v>41</v>
      </c>
      <c r="D59" s="168"/>
    </row>
    <row r="60" spans="1:4" ht="17.25" x14ac:dyDescent="0.3">
      <c r="A60" s="133">
        <v>1</v>
      </c>
      <c r="B60" s="160" t="s">
        <v>128</v>
      </c>
      <c r="C60" s="160" t="s">
        <v>129</v>
      </c>
      <c r="D60" s="178">
        <v>550</v>
      </c>
    </row>
    <row r="61" spans="1:4" s="138" customFormat="1" ht="17.25" x14ac:dyDescent="0.3">
      <c r="A61" s="93">
        <v>1</v>
      </c>
      <c r="B61" s="103" t="s">
        <v>130</v>
      </c>
      <c r="C61" s="103" t="s">
        <v>131</v>
      </c>
      <c r="D61" s="179">
        <v>550</v>
      </c>
    </row>
    <row r="62" spans="1:4" x14ac:dyDescent="0.3">
      <c r="A62" s="157">
        <f>SUM(A60:A61)</f>
        <v>2</v>
      </c>
      <c r="B62" s="157"/>
      <c r="C62" s="157"/>
      <c r="D62" s="180">
        <f>SUM(D60:D61)</f>
        <v>1100</v>
      </c>
    </row>
    <row r="63" spans="1:4" x14ac:dyDescent="0.3">
      <c r="A63" s="153"/>
      <c r="B63" s="153"/>
      <c r="C63" s="153"/>
      <c r="D63" s="181"/>
    </row>
    <row r="64" spans="1:4" x14ac:dyDescent="0.3">
      <c r="A64" s="153"/>
      <c r="B64" s="153"/>
      <c r="C64" s="153"/>
      <c r="D64" s="181"/>
    </row>
    <row r="65" spans="1:5" x14ac:dyDescent="0.3">
      <c r="A65" s="153"/>
      <c r="B65" s="153"/>
      <c r="C65" s="153"/>
      <c r="D65" s="181"/>
    </row>
    <row r="66" spans="1:5" ht="30" x14ac:dyDescent="0.3">
      <c r="B66" s="161" t="s">
        <v>154</v>
      </c>
      <c r="C66" s="162" t="s">
        <v>417</v>
      </c>
      <c r="D66" s="182" t="s">
        <v>415</v>
      </c>
      <c r="E66" s="161" t="s">
        <v>169</v>
      </c>
    </row>
    <row r="67" spans="1:5" ht="17.25" x14ac:dyDescent="0.3">
      <c r="B67" s="163" t="s">
        <v>396</v>
      </c>
      <c r="C67" s="163">
        <f>A11</f>
        <v>6</v>
      </c>
      <c r="D67" s="183">
        <v>525</v>
      </c>
      <c r="E67" s="163">
        <f>D11</f>
        <v>3150</v>
      </c>
    </row>
    <row r="68" spans="1:5" ht="17.25" x14ac:dyDescent="0.3">
      <c r="B68" s="163" t="s">
        <v>397</v>
      </c>
      <c r="C68" s="163">
        <f>A25</f>
        <v>8</v>
      </c>
      <c r="D68" s="183">
        <v>525</v>
      </c>
      <c r="E68" s="163">
        <f>D25</f>
        <v>3675</v>
      </c>
    </row>
    <row r="69" spans="1:5" ht="17.25" x14ac:dyDescent="0.3">
      <c r="B69" s="163" t="s">
        <v>416</v>
      </c>
      <c r="C69" s="163">
        <f>A35</f>
        <v>5</v>
      </c>
      <c r="D69" s="183">
        <v>525</v>
      </c>
      <c r="E69" s="163">
        <f>D35</f>
        <v>2625</v>
      </c>
    </row>
    <row r="70" spans="1:5" ht="17.25" x14ac:dyDescent="0.3">
      <c r="B70" s="163" t="s">
        <v>245</v>
      </c>
      <c r="C70" s="163">
        <f>A54</f>
        <v>4</v>
      </c>
      <c r="D70" s="183">
        <v>575</v>
      </c>
      <c r="E70" s="163">
        <f>D54</f>
        <v>2300</v>
      </c>
    </row>
    <row r="71" spans="1:5" ht="17.25" x14ac:dyDescent="0.3">
      <c r="B71" s="163" t="s">
        <v>332</v>
      </c>
      <c r="C71" s="163">
        <f>A62</f>
        <v>2</v>
      </c>
      <c r="D71" s="183">
        <v>550</v>
      </c>
      <c r="E71" s="163">
        <f>D62</f>
        <v>1100</v>
      </c>
    </row>
    <row r="72" spans="1:5" ht="17.25" x14ac:dyDescent="0.3">
      <c r="B72" s="164"/>
      <c r="C72" s="165">
        <f>SUM(C67:C71)</f>
        <v>25</v>
      </c>
      <c r="D72" s="184" t="s">
        <v>169</v>
      </c>
      <c r="E72" s="166">
        <f>SUM(E67:E71)</f>
        <v>12850</v>
      </c>
    </row>
    <row r="73" spans="1:5" x14ac:dyDescent="0.3">
      <c r="A73" s="153"/>
      <c r="B73" s="153"/>
      <c r="C73" s="153"/>
      <c r="D73" s="181"/>
    </row>
    <row r="74" spans="1:5" x14ac:dyDescent="0.3">
      <c r="A74" s="153"/>
      <c r="B74" s="153"/>
      <c r="C74" s="153"/>
      <c r="D74" s="181"/>
    </row>
    <row r="75" spans="1:5" ht="17.25" x14ac:dyDescent="0.3">
      <c r="A75" s="153"/>
      <c r="B75" s="7"/>
      <c r="C75" s="153"/>
      <c r="D75" s="181"/>
    </row>
    <row r="76" spans="1:5" ht="17.25" x14ac:dyDescent="0.3">
      <c r="A76" s="153"/>
      <c r="B76" s="7" t="s">
        <v>419</v>
      </c>
      <c r="C76" s="153">
        <v>12850</v>
      </c>
      <c r="D76" s="181"/>
    </row>
    <row r="77" spans="1:5" ht="17.25" x14ac:dyDescent="0.3">
      <c r="A77" s="153"/>
      <c r="B77" s="7"/>
      <c r="C77" s="153"/>
      <c r="D77" s="181"/>
    </row>
    <row r="78" spans="1:5" ht="17.25" x14ac:dyDescent="0.3">
      <c r="A78" s="153"/>
      <c r="B78" s="7"/>
      <c r="C78" s="153"/>
      <c r="D78" s="181"/>
    </row>
    <row r="79" spans="1:5" ht="17.25" x14ac:dyDescent="0.3">
      <c r="A79" s="153"/>
      <c r="B79" s="7" t="s">
        <v>420</v>
      </c>
      <c r="C79" s="153"/>
      <c r="D79" s="181"/>
    </row>
    <row r="80" spans="1:5" ht="17.25" x14ac:dyDescent="0.3">
      <c r="A80" s="153"/>
      <c r="B80" s="7" t="s">
        <v>421</v>
      </c>
      <c r="C80" s="153"/>
      <c r="D80" s="181"/>
    </row>
    <row r="81" spans="1:4" ht="17.25" x14ac:dyDescent="0.3">
      <c r="A81" s="153"/>
      <c r="B81" s="7">
        <v>3414085843</v>
      </c>
      <c r="C81" s="153"/>
      <c r="D81" s="181"/>
    </row>
    <row r="82" spans="1:4" ht="17.25" x14ac:dyDescent="0.3">
      <c r="A82" s="153"/>
      <c r="B82" s="7" t="s">
        <v>422</v>
      </c>
      <c r="C82" s="153"/>
      <c r="D82" s="181"/>
    </row>
    <row r="83" spans="1:4" ht="17.25" x14ac:dyDescent="0.3">
      <c r="A83" s="153"/>
      <c r="B83" s="7" t="s">
        <v>423</v>
      </c>
      <c r="C83" s="153"/>
      <c r="D83" s="181"/>
    </row>
    <row r="84" spans="1:4" x14ac:dyDescent="0.3">
      <c r="A84" s="153"/>
      <c r="B84" s="153"/>
      <c r="C84" s="153"/>
      <c r="D84" s="181"/>
    </row>
    <row r="85" spans="1:4" x14ac:dyDescent="0.3">
      <c r="A85" s="153"/>
      <c r="B85" s="153"/>
      <c r="C85" s="153"/>
      <c r="D85" s="181"/>
    </row>
    <row r="86" spans="1:4" x14ac:dyDescent="0.3">
      <c r="A86" s="153"/>
      <c r="B86" s="153"/>
      <c r="C86" s="153"/>
      <c r="D86" s="181"/>
    </row>
  </sheetData>
  <pageMargins left="0.70866141732283472" right="0.70866141732283472" top="0.35433070866141736" bottom="0.35433070866141736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1ERO. BÁSICO</vt:lpstr>
      <vt:lpstr>2DO. BÁSICO</vt:lpstr>
      <vt:lpstr>3ERO. BÁSICO</vt:lpstr>
      <vt:lpstr>4TO. BACHILLERATO</vt:lpstr>
      <vt:lpstr>5TO. BACHILLERATO</vt:lpstr>
      <vt:lpstr>RESUMEN</vt:lpstr>
      <vt:lpstr>Para administración</vt:lpstr>
      <vt:lpstr>Inscripción 2024</vt:lpstr>
      <vt:lpstr>INSCRIPCIÓN ENERO</vt:lpstr>
      <vt:lpstr>'INSCRIPCIÓN ENERO'!Área_de_impresión</vt:lpstr>
      <vt:lpstr>'Para administración'!Área_de_impresión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FKJ-Oficina</dc:creator>
  <cp:lastModifiedBy>elizabeth.saban2008@hotmail.com</cp:lastModifiedBy>
  <cp:lastPrinted>2025-04-21T19:37:00Z</cp:lastPrinted>
  <dcterms:created xsi:type="dcterms:W3CDTF">2024-11-20T21:53:53Z</dcterms:created>
  <dcterms:modified xsi:type="dcterms:W3CDTF">2025-09-09T13:22:23Z</dcterms:modified>
</cp:coreProperties>
</file>